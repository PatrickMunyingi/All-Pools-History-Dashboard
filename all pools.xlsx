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Munyingi\"/>
    </mc:Choice>
  </mc:AlternateContent>
  <xr:revisionPtr revIDLastSave="0" documentId="13_ncr:1_{B3CE27C4-E079-460D-B529-ACD4F3A9069C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OV&amp;REPLICA" sheetId="1" r:id="rId1"/>
    <sheet name="Sheet1" sheetId="3" r:id="rId2"/>
    <sheet name="IIS" sheetId="2" r:id="rId3"/>
  </sheets>
  <externalReferences>
    <externalReference r:id="rId4"/>
  </externalReference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FALSE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8</definedName>
    <definedName name="_AtRisk_SimSetting_MultipleCPUManualCount" hidden="1">8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0" hidden="1">'SOV&amp;REPLICA'!$A$1:$AX$291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300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S3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2" i="1"/>
  <c r="Q35" i="1"/>
  <c r="Q34" i="1"/>
  <c r="N35" i="1"/>
  <c r="C3" i="3" l="1"/>
  <c r="C4" i="3"/>
  <c r="C5" i="3"/>
  <c r="C6" i="3"/>
  <c r="C7" i="3"/>
  <c r="C8" i="3"/>
  <c r="C9" i="3"/>
  <c r="C10" i="3"/>
  <c r="C11" i="3"/>
  <c r="C12" i="3"/>
  <c r="C13" i="3"/>
  <c r="C2" i="3"/>
  <c r="B3" i="3"/>
  <c r="B4" i="3"/>
  <c r="B5" i="3"/>
  <c r="B6" i="3"/>
  <c r="B7" i="3"/>
  <c r="B8" i="3"/>
  <c r="B9" i="3"/>
  <c r="B10" i="3"/>
  <c r="B11" i="3"/>
  <c r="B12" i="3"/>
  <c r="B13" i="3"/>
  <c r="B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" i="1"/>
  <c r="O246" i="1"/>
  <c r="O229" i="1"/>
  <c r="M212" i="1"/>
  <c r="L212" i="1"/>
  <c r="M211" i="1"/>
  <c r="L211" i="1"/>
  <c r="D10" i="3" l="1"/>
  <c r="D12" i="3"/>
  <c r="D9" i="3"/>
  <c r="D13" i="3"/>
  <c r="D11" i="3"/>
  <c r="D7" i="3"/>
  <c r="D5" i="3"/>
  <c r="D2" i="3"/>
  <c r="D8" i="3"/>
  <c r="D6" i="3"/>
  <c r="D4" i="3"/>
  <c r="D3" i="3"/>
</calcChain>
</file>

<file path=xl/sharedStrings.xml><?xml version="1.0" encoding="utf-8"?>
<sst xmlns="http://schemas.openxmlformats.org/spreadsheetml/2006/main" count="3060" uniqueCount="620">
  <si>
    <t>Policy ID</t>
  </si>
  <si>
    <t>Country Policy</t>
  </si>
  <si>
    <t>Region</t>
  </si>
  <si>
    <t>Country</t>
  </si>
  <si>
    <t>Policy Type</t>
  </si>
  <si>
    <t>Crop Type</t>
  </si>
  <si>
    <t>Peril</t>
  </si>
  <si>
    <t>Pool</t>
  </si>
  <si>
    <t>Policy Years</t>
  </si>
  <si>
    <t>Premium</t>
  </si>
  <si>
    <t>Attachment</t>
  </si>
  <si>
    <t>Exhaustion</t>
  </si>
  <si>
    <t>Ceding %</t>
  </si>
  <si>
    <t>Coverage</t>
  </si>
  <si>
    <t>Claims</t>
  </si>
  <si>
    <t>Rate-On-Line</t>
  </si>
  <si>
    <t>Premium Loading</t>
  </si>
  <si>
    <t>Expected Loss</t>
  </si>
  <si>
    <t>Premium Financed by Country</t>
  </si>
  <si>
    <t>Premium Financed by KFW</t>
  </si>
  <si>
    <t>Premium Financed by ADRiFi ADF</t>
  </si>
  <si>
    <t>Premium Financed by ADRiFi MDTF</t>
  </si>
  <si>
    <t>Premium Financed by US AID</t>
  </si>
  <si>
    <t>Premium Financed by START Network</t>
  </si>
  <si>
    <t>Premium Financed by WFP</t>
  </si>
  <si>
    <t>Premium Financed by SDC</t>
  </si>
  <si>
    <t>Premium Financed by FCDO</t>
  </si>
  <si>
    <t>Premium Financed by Global Shield</t>
  </si>
  <si>
    <t>Premium Financed by UNHCR</t>
  </si>
  <si>
    <t>11_DR_CI_CROP_SOV_CENTRE</t>
  </si>
  <si>
    <t>CÔTE D'IVOIRE CENTRE</t>
  </si>
  <si>
    <t>WCA</t>
  </si>
  <si>
    <t>CÔTE D'IVOIRE</t>
  </si>
  <si>
    <t>SOVEREIGN</t>
  </si>
  <si>
    <t>CROP</t>
  </si>
  <si>
    <t>Drought</t>
  </si>
  <si>
    <t>11A</t>
  </si>
  <si>
    <t>2024/2025</t>
  </si>
  <si>
    <t>11_DR_BF_CROP_REP_WFP</t>
  </si>
  <si>
    <t>BURKINA FASO CROP REPLICA WFP</t>
  </si>
  <si>
    <t>BURKINA FASO</t>
  </si>
  <si>
    <t>REPLICA</t>
  </si>
  <si>
    <t>11_DR_ML_CROP_REP_WFP</t>
  </si>
  <si>
    <t>MALI CROP REPLICA WFP</t>
  </si>
  <si>
    <t>MALI</t>
  </si>
  <si>
    <t>11_DR_MR_RANGE_REP_WFP</t>
  </si>
  <si>
    <t>MAURITANIA RANGELAND REPLICA WFP</t>
  </si>
  <si>
    <t>MAURITANIA</t>
  </si>
  <si>
    <t>RANGELAND</t>
  </si>
  <si>
    <t>11_DR_SD_RANGE_REP_WFP</t>
  </si>
  <si>
    <t>SUDAN RANGELAND REPLICA WFP</t>
  </si>
  <si>
    <t>ESA</t>
  </si>
  <si>
    <t>SUDAN</t>
  </si>
  <si>
    <t>11_DR_GM_CROP_REP_WFP</t>
  </si>
  <si>
    <t xml:space="preserve">GAMBIA CROP REPLICA WFP </t>
  </si>
  <si>
    <t>GAMBIA</t>
  </si>
  <si>
    <t>11_DR_ML_CROP_REP_UNHCR</t>
  </si>
  <si>
    <t>MALI CROP REPLICA UNHCR</t>
  </si>
  <si>
    <t>11_DR_GH_CROP_SOV_NORTH</t>
  </si>
  <si>
    <t>GHANA NORTHERN CLUSTER</t>
  </si>
  <si>
    <t>GHANA</t>
  </si>
  <si>
    <t>11_DR_GH_CROP_SOV_SOUTH</t>
  </si>
  <si>
    <t>GHANA SHORT RAINS CLUSTER</t>
  </si>
  <si>
    <t>11_DR_TG_CROP_SOV_NORD</t>
  </si>
  <si>
    <t>TOGO NORD</t>
  </si>
  <si>
    <t>TOGO</t>
  </si>
  <si>
    <t>11_DR_TG_CROP_SOV_SUD</t>
  </si>
  <si>
    <t>TOGO SUD PETITE</t>
  </si>
  <si>
    <t>11_DR_BJ_CROP_SOV_SUD</t>
  </si>
  <si>
    <t>BENIN SUD PETITE CROP</t>
  </si>
  <si>
    <t>BENIN</t>
  </si>
  <si>
    <t>11_DR_SO_CROP_GOV_DEYR</t>
  </si>
  <si>
    <t>SOMALIA DEYR CROP</t>
  </si>
  <si>
    <t>SOMALIA</t>
  </si>
  <si>
    <t>11B</t>
  </si>
  <si>
    <t>11_DR_SO_RANGE_SOV_DEYR</t>
  </si>
  <si>
    <t>SOMALIA DEYR RANGELAND</t>
  </si>
  <si>
    <t>11_DR_SO_CROP_REP_START_DEYR</t>
  </si>
  <si>
    <t xml:space="preserve">SOMALIA DEYR CROP REPLICA START </t>
  </si>
  <si>
    <t>11_DR_SO_RANGE_REP_START_DEYR</t>
  </si>
  <si>
    <t xml:space="preserve">SOMALIA DEYR RANGELAND REPLICA START </t>
  </si>
  <si>
    <t>11_DR_SO_RANGE_REP_WFP_DEYR</t>
  </si>
  <si>
    <t>SOMALIA DEYR RANGELAND REPLICA WFP</t>
  </si>
  <si>
    <t>11_DR_ZW_CROP_REP_WFP_Z4</t>
  </si>
  <si>
    <t>ZIMBABWE Z4 CROP REPLICA WFP</t>
  </si>
  <si>
    <t>ZIMBABWE</t>
  </si>
  <si>
    <t>11_DR_ZW_CROP_REP_WFP_Z5</t>
  </si>
  <si>
    <t>ZIMBABWE Z5 CROP REPLICA WFP</t>
  </si>
  <si>
    <t>11_DR_ZW_CROP_REP_START_Z1&amp;Z2</t>
  </si>
  <si>
    <t>ZIMBABWE Z1&amp;Z2 CROP REPLICA START</t>
  </si>
  <si>
    <t>11_DR_ZW_CROP_REP_START_Z3</t>
  </si>
  <si>
    <t>ZIMBABWE Z3 CROP REPLICA START</t>
  </si>
  <si>
    <t>11_DR_ZW_CROP_REP_START_Z4</t>
  </si>
  <si>
    <t>ZIMBABWE Z4 CROP REPLICA START</t>
  </si>
  <si>
    <t>11_DR_ZW_CROP_REP_START_Z5</t>
  </si>
  <si>
    <t>ZIMBABWE Z5 CROP REPLICA START</t>
  </si>
  <si>
    <t>11_DR_MG_CROP_REP_WFP</t>
  </si>
  <si>
    <t>MADAGASCAR CROP WFP</t>
  </si>
  <si>
    <t>MADAGASCAR</t>
  </si>
  <si>
    <t>11_DR_MG_CROP_SOV</t>
  </si>
  <si>
    <t>MADAGASCAR CROP</t>
  </si>
  <si>
    <t>11_TC_MG_SOV</t>
  </si>
  <si>
    <t>MADAGASCAR TROPICAL CYCLONE</t>
  </si>
  <si>
    <t>Tropical Cyclone</t>
  </si>
  <si>
    <t>11_TC_MG_REP_WFP</t>
  </si>
  <si>
    <t>MADAGASCAR TROPICAL CYCLONE REPLICA WFP</t>
  </si>
  <si>
    <t>11_TC_MG_REP_START</t>
  </si>
  <si>
    <t>MADAGASCAR TROPICAL CYCLONE REPLICA START</t>
  </si>
  <si>
    <t>11_DR_MW_CROP_REP_UNHCR</t>
  </si>
  <si>
    <t>MALAWI CROP  REPLICA UNHCR</t>
  </si>
  <si>
    <t>MALAWI</t>
  </si>
  <si>
    <t>11_DR_MZ_CROP_SOV_Z1</t>
  </si>
  <si>
    <t>MOZAMBIQUE ZONE 1 CROP</t>
  </si>
  <si>
    <t>MOZAMBIQUE</t>
  </si>
  <si>
    <t>11_DR_MZ_CROP_SOV_Z2</t>
  </si>
  <si>
    <t>MOZAMBIQUE ZONE 2 CROP</t>
  </si>
  <si>
    <t>11_DR_MZ_CROP_SOV_Z3</t>
  </si>
  <si>
    <t>MOZAMBIQUE ZONE 3 CROP</t>
  </si>
  <si>
    <t>11_DR_MZ_CROP_SOV_Z4</t>
  </si>
  <si>
    <t>MOZAMBIQUE ZONE 4 CROP</t>
  </si>
  <si>
    <t>11_TC_MZ_REP_WFP</t>
  </si>
  <si>
    <t>MOZAMBIQUE TROPICAL CYCLONE REPLICA WFP</t>
  </si>
  <si>
    <t>11_DR_MZ_CROP_REP_WFP_Z1</t>
  </si>
  <si>
    <t>MOZAMBIQUE DROUGHT REPLICA WFP</t>
  </si>
  <si>
    <t>11_DR_ZM_CROP_REP_WFP</t>
  </si>
  <si>
    <t>ZAMBIA DROUGHT REPLICA WFP</t>
  </si>
  <si>
    <t>ZAMBIA</t>
  </si>
  <si>
    <t>11_DR_ZM_CROP_REP_UNHCR</t>
  </si>
  <si>
    <t>ZAMBIA DROUGHT REPLICA UNHCR</t>
  </si>
  <si>
    <t>11_TC_KM_SOV</t>
  </si>
  <si>
    <t>COMOROS TROPICAL CYCLONE</t>
  </si>
  <si>
    <t>COMOROS</t>
  </si>
  <si>
    <t>11_DR_ZW_CROP_REP_UNHCR_Z5</t>
  </si>
  <si>
    <t>ZIMBABWE Z5 CROP REPLICA UNHCR</t>
  </si>
  <si>
    <t>11_DR_ZW_CROP_SOV_Z1&amp;Z2</t>
  </si>
  <si>
    <t>ZIMBABWE Z1&amp;Z2 CROP</t>
  </si>
  <si>
    <t>11_DR_ZW_CROP_SOV_Z3</t>
  </si>
  <si>
    <t>ZIMBABWE Z3 CROP</t>
  </si>
  <si>
    <t>11_DR_ZW_CROP_SOV_Z4</t>
  </si>
  <si>
    <t>ZIMBABWE Z4 CROP</t>
  </si>
  <si>
    <t>11_DR_ZW_CROP_SOV_Z5</t>
  </si>
  <si>
    <t>ZIMBABWE Z5 CROP</t>
  </si>
  <si>
    <t>11_DR_ZM_CROP_SOV</t>
  </si>
  <si>
    <t>ZAMBIA CROP</t>
  </si>
  <si>
    <t>11_DR_ZM_CROP_SOV_AI</t>
  </si>
  <si>
    <t>ZAMBIA CROP ANTICIPATORY INSURANCE</t>
  </si>
  <si>
    <t>11_DR_MW_CROP_SOV_NORTHERN</t>
  </si>
  <si>
    <t>MALAWI CROP NORTHERN CLUSTER</t>
  </si>
  <si>
    <t>11_DR_MW_CROP_SOV_CENTRAL</t>
  </si>
  <si>
    <t>MALAWI CROP CENTRAL CLUSTER</t>
  </si>
  <si>
    <t>11_DR_MW_CROP_SOV_SOUTHERN</t>
  </si>
  <si>
    <t>MALAWI CROP SOUTHERN CLUSTER</t>
  </si>
  <si>
    <t>11_DR_MW_CROP_SOV_LOWERSHIRE</t>
  </si>
  <si>
    <t>MALAWI CROP LOWERSHIRE CLUSTER</t>
  </si>
  <si>
    <t>11_DR_MW_CROP_SOV_SOUTHERN_AI</t>
  </si>
  <si>
    <t>MALAWI CROP SOUTHERN ANTICIPATORY INSURANCE</t>
  </si>
  <si>
    <t>11_DR_MW_CROP_SOV_LOWERSHIRE_AI</t>
  </si>
  <si>
    <t>MALAWI CROP LOWERSHIRE ANTICIPATORY INSURANCE</t>
  </si>
  <si>
    <t>11_DR_LS_CROP_SOV</t>
  </si>
  <si>
    <t>LESOTHO CROP</t>
  </si>
  <si>
    <t>LESOTHO</t>
  </si>
  <si>
    <t>11_DR_LS_RANGE_SOV</t>
  </si>
  <si>
    <t>LESOTHO RANGELAND</t>
  </si>
  <si>
    <t>10_DR_SO_CROP_SOV_DEYR</t>
  </si>
  <si>
    <t>Somalia DeyrCrop</t>
  </si>
  <si>
    <t>10B</t>
  </si>
  <si>
    <t>2023/2024</t>
  </si>
  <si>
    <t>10_DR_SO_RANGE_SOV_DEYR</t>
  </si>
  <si>
    <t>Somalia DeyrRangeland</t>
  </si>
  <si>
    <t>10_DR_SO_CROP_SOV_GU</t>
  </si>
  <si>
    <t>Somalia Gu Crop</t>
  </si>
  <si>
    <t>10A</t>
  </si>
  <si>
    <t>10_DR_SO_CROP_REP_SAVE_GU</t>
  </si>
  <si>
    <t>REP Somalia Gu Crop</t>
  </si>
  <si>
    <t>10_DR_SO_CROP_REP_SAVE_DEYR</t>
  </si>
  <si>
    <t>REP Somalia DeyrCrop</t>
  </si>
  <si>
    <t>10_DR_SO_RANGE_REP_SAVE_DEYR</t>
  </si>
  <si>
    <t>REP Somalia DeyrRangeland</t>
  </si>
  <si>
    <t>10_DR_CI_CROP_SOV_CENTRE</t>
  </si>
  <si>
    <t>10_DR_CI_CROP_SOV_NORD</t>
  </si>
  <si>
    <t>CÔTE D'IVOIRE NORD</t>
  </si>
  <si>
    <t>10_DR_TG_CROP_SOV_NORD</t>
  </si>
  <si>
    <t>10_DR_TG_CROP_SOV_SUD</t>
  </si>
  <si>
    <t>10_DR_SN_CROP_SOV</t>
  </si>
  <si>
    <t>SENEGAL CROP</t>
  </si>
  <si>
    <t>SENEGAL</t>
  </si>
  <si>
    <t>10_DR_SN_RANGE_SOV</t>
  </si>
  <si>
    <t>SENEGAL RANGELAND</t>
  </si>
  <si>
    <t>10_DR_SN_CROP_REP_SAVE</t>
  </si>
  <si>
    <t>REPLICA SENEGAL CROP</t>
  </si>
  <si>
    <t>10_DR_GM_CROP_SOV</t>
  </si>
  <si>
    <t>THE GAMBIA</t>
  </si>
  <si>
    <t>10_DR_GM_CROP_REP_WFP</t>
  </si>
  <si>
    <t>REPLICA THE GAMBIA</t>
  </si>
  <si>
    <t>10_DR_TD_CROP_SOV</t>
  </si>
  <si>
    <t>TCHAD CROP</t>
  </si>
  <si>
    <t>CHAD</t>
  </si>
  <si>
    <t>10_DR_SD_RANGE_REP_WFP</t>
  </si>
  <si>
    <t>WFP REPLICA SUDAN RANGELAND</t>
  </si>
  <si>
    <t>10_DR_ML_CROP_SOV</t>
  </si>
  <si>
    <t>10_DR_ML_CROP_REP_WFP</t>
  </si>
  <si>
    <t>WFP REPLICA MALI</t>
  </si>
  <si>
    <t>10_DR_BF_CROP_SOV</t>
  </si>
  <si>
    <t>BURKINA FASO CROP</t>
  </si>
  <si>
    <t>10_DR_BF_RANGE_SOV</t>
  </si>
  <si>
    <t>BURKINA FASO RANGELAND</t>
  </si>
  <si>
    <t>10_DR_BF_CROP_REP_WFP</t>
  </si>
  <si>
    <t>WFP REPLICA BURKINA FASO CROP</t>
  </si>
  <si>
    <t>10_DR_MR_CROP_SOV</t>
  </si>
  <si>
    <t>MAURITANIA CROP</t>
  </si>
  <si>
    <t>10_DR_MR_CROP_REP_WFP</t>
  </si>
  <si>
    <t>WFP REPLICA MAURITANIA CROP</t>
  </si>
  <si>
    <t>10_DR_MR_RANGE_SOV</t>
  </si>
  <si>
    <t>MAURITANIA  RANGELAND</t>
  </si>
  <si>
    <t>10_DR_MR_RANGE_REP_WFP</t>
  </si>
  <si>
    <t>WFP REPLICA MAURITANIA RANGELAND</t>
  </si>
  <si>
    <t>10_DR_NE_CROP_SOV</t>
  </si>
  <si>
    <t>NIGER CROP</t>
  </si>
  <si>
    <t>NIGER</t>
  </si>
  <si>
    <t>10_DR_NE_RANGE_SOV</t>
  </si>
  <si>
    <t>NIGER RANGELAND</t>
  </si>
  <si>
    <t>10_DR_MG_CROP_SOV</t>
  </si>
  <si>
    <t>10_DR_MG_CROP_REP_WFP</t>
  </si>
  <si>
    <t>REPLICA MADAGASCAR</t>
  </si>
  <si>
    <t>43 611 948</t>
  </si>
  <si>
    <t>57 690 755</t>
  </si>
  <si>
    <t>10_TC_MG_SOV</t>
  </si>
  <si>
    <t>MADAGASCAR TC</t>
  </si>
  <si>
    <t>10_TC_MG_REP_START</t>
  </si>
  <si>
    <t>REP MADAGASCAR TC START</t>
  </si>
  <si>
    <t>10_TC_MG_REP_WFP</t>
  </si>
  <si>
    <t>REP MADAGASCAR TC WFP</t>
  </si>
  <si>
    <t>10_DR_MW_CROP_SOV_NORTHERN</t>
  </si>
  <si>
    <t>MALAWI NORTHERN</t>
  </si>
  <si>
    <t>10_DR_MW_CROP_SOV_CENTRAL</t>
  </si>
  <si>
    <t>MALAWI CENTRAL</t>
  </si>
  <si>
    <t>10_DR_MW_CROP_SOV_SOUTHERN</t>
  </si>
  <si>
    <t>MALAWI SOUTHERN</t>
  </si>
  <si>
    <t>10_DR_MW_CROP_SOV_LOWERSHIRE</t>
  </si>
  <si>
    <t>MALAWI LOWER SHIRE</t>
  </si>
  <si>
    <t>10_DR_MW_CROP_REP_UNHCR_CENTRAL</t>
  </si>
  <si>
    <t>REP MALAWI CENTRAL</t>
  </si>
  <si>
    <t>10_DR_MW_CROP_SOV_SOUTHERN_AI</t>
  </si>
  <si>
    <t>MALAWI SOUTHERN ANTICIPATORY INSURANCE</t>
  </si>
  <si>
    <t>10_DR_MW_CROP_SOV_LOWERSHIRE_AI</t>
  </si>
  <si>
    <t>MALAWI LOWER SHIRE ANTICIPATORY INSURANCE</t>
  </si>
  <si>
    <t>10_DR_ZM_CROP_SOV</t>
  </si>
  <si>
    <t>10_DR_ZM_CROP_REP_WFP</t>
  </si>
  <si>
    <t>REP ZAMBIA</t>
  </si>
  <si>
    <t>10_DR_ZM_CROP_SOV_AI</t>
  </si>
  <si>
    <t>ZAMBIA ANTICIPATORY INSURANCE</t>
  </si>
  <si>
    <t>10_DR_ZW_CROP_SOV_Z1&amp;Z2</t>
  </si>
  <si>
    <t xml:space="preserve">ZIMBABWE CLUSTER Z1&amp;Z2 </t>
  </si>
  <si>
    <t>10_DR_ZW_CROP_SOV_Z3</t>
  </si>
  <si>
    <t xml:space="preserve">ZIMBABWE CLUSTER Z3 </t>
  </si>
  <si>
    <t>10_DR_ZW_CROP_SOV_Z4</t>
  </si>
  <si>
    <t xml:space="preserve">ZIMBABWE CLUSTER Z4  </t>
  </si>
  <si>
    <t>10_DR_ZW_CROP_SOV_Z5</t>
  </si>
  <si>
    <t xml:space="preserve">ZIMBABWE CLUSTER Z5 </t>
  </si>
  <si>
    <t>10_DR_ZW_CROP_REP_START_Z1&amp;Z2</t>
  </si>
  <si>
    <t>REP START ZIMBABWE Z1&amp;Z2</t>
  </si>
  <si>
    <t>10_DR_ZW_CROP_REP_START_Z3</t>
  </si>
  <si>
    <t>REP START ZIMBABWE Z3</t>
  </si>
  <si>
    <t>10_DR_ZW_CROP_REP_START_Z4</t>
  </si>
  <si>
    <t>REP START ZIMBABWE Z4</t>
  </si>
  <si>
    <t>10_DR_ZW_CROP_REP_START_Z5</t>
  </si>
  <si>
    <t xml:space="preserve">REP START ZIMBABWE Z5 </t>
  </si>
  <si>
    <t>10_DR_ZW_CROP_REP_WFP_Z4</t>
  </si>
  <si>
    <t>REP WFP ZIMBABWE Z4</t>
  </si>
  <si>
    <t>10_DR_ZW_CROP_REP_WFP_Z5</t>
  </si>
  <si>
    <t xml:space="preserve">REP WFP ZIMBABWE Z5 </t>
  </si>
  <si>
    <t>10_DR_MZ_CROP_SOV_Z1</t>
  </si>
  <si>
    <t>MOZAMBIQUE Z1</t>
  </si>
  <si>
    <t>10_DR_MZ_CROP_SOV_Z2</t>
  </si>
  <si>
    <t>MOZAMBIQUE Z2</t>
  </si>
  <si>
    <t>10_DR_MZ_CROP_SOV_Z3</t>
  </si>
  <si>
    <t>MOZAMBIQUE Z3</t>
  </si>
  <si>
    <t>10_DR_MZ_CROP_SOV_Z4</t>
  </si>
  <si>
    <t>MOZAMBIQUE Z4</t>
  </si>
  <si>
    <t>10_DR_MZ_REP_WFP_Z1</t>
  </si>
  <si>
    <t>REP MOZAMBIQUE Z1</t>
  </si>
  <si>
    <t>10_TC_MZ_REP_WFP</t>
  </si>
  <si>
    <t>REP MOZAMBIQUE TC</t>
  </si>
  <si>
    <t>10_TC_KM_SOV</t>
  </si>
  <si>
    <t>COMOROS TC</t>
  </si>
  <si>
    <t>9_DR_ML_CROP_REP_WFP</t>
  </si>
  <si>
    <t>REPLICA MALI</t>
  </si>
  <si>
    <t>2022/2023</t>
  </si>
  <si>
    <t>9_DR_BF_CROP_REP_WFP</t>
  </si>
  <si>
    <t>REPLICA BURKINA FASO</t>
  </si>
  <si>
    <t>9_DR_GM_CROP_SOV</t>
  </si>
  <si>
    <t>9_DR_GM_CROP_REP_WFP</t>
  </si>
  <si>
    <t>9_DR_NE_RANGE_SOV</t>
  </si>
  <si>
    <t>9_DR_NE_CROP_SOV</t>
  </si>
  <si>
    <t>9_DR_MR_RANGE_SOV</t>
  </si>
  <si>
    <t>MAURITANIA RANGELAND</t>
  </si>
  <si>
    <t>9_DR_MR_CROP_SOV</t>
  </si>
  <si>
    <t>9_DR_MR_RANGE_REP_WFP</t>
  </si>
  <si>
    <t>REPLICA MAURITANIA RANGELAND</t>
  </si>
  <si>
    <t>9_DR_MR_CROP_REP_WFP</t>
  </si>
  <si>
    <t>REPLICA MAURITANIA CROP</t>
  </si>
  <si>
    <t>9_DR_TG_CROP_SOV_NORD</t>
  </si>
  <si>
    <t>9_DR_TG_CROP_SOV_SUDPETITE</t>
  </si>
  <si>
    <t>9_DR_TD_CROP_SOV</t>
  </si>
  <si>
    <t>TCHAD</t>
  </si>
  <si>
    <t>9_DR_MG_CROP_SOV</t>
  </si>
  <si>
    <t>MADAGASCAR DROUGHT</t>
  </si>
  <si>
    <t>9_DR_MG_CROP_REP</t>
  </si>
  <si>
    <t>REP MADAGASCAR DROUGHT</t>
  </si>
  <si>
    <t>9_DR_MW_CROP_SOV_NORTHERN</t>
  </si>
  <si>
    <t>MALAWI NORTH</t>
  </si>
  <si>
    <t>9_DR_MW_CROP_SOV_CENTRAL</t>
  </si>
  <si>
    <t>9_DR_MW_CROP_SOV_SOUTHERN</t>
  </si>
  <si>
    <t>MALAWI SOUTH</t>
  </si>
  <si>
    <t>9_DR_MW_CROP_SOV_LOWERSHIRE</t>
  </si>
  <si>
    <t>9_DR_ZM_CROP_SOV</t>
  </si>
  <si>
    <t>9_DR_ZW_CROP_SOV</t>
  </si>
  <si>
    <t>9_DR_ZW_CROP_REP_START</t>
  </si>
  <si>
    <t>REPLICA ZIMBABWE START</t>
  </si>
  <si>
    <t>9_DR_ZW_CROP_REP_WFP</t>
  </si>
  <si>
    <t>REPLICA ZIMBABWE WFP</t>
  </si>
  <si>
    <t>9_DR_SO_RANGE_REP_SAVE_DEYR</t>
  </si>
  <si>
    <t>REPLICA SOMALIA DEYR RANGELAND</t>
  </si>
  <si>
    <t>9_DR_SO_CROP_REP_SAVE_DEYR</t>
  </si>
  <si>
    <t>REPLICA SOMALIA DEYR CROP</t>
  </si>
  <si>
    <t>9_TC_KM_SOV</t>
  </si>
  <si>
    <t>9_TC_MG_SOV</t>
  </si>
  <si>
    <t>9_TC_MG_REP_WFP</t>
  </si>
  <si>
    <t>REPLICA MADAGASCAR TROPICAL CYCLONE</t>
  </si>
  <si>
    <t>8_DR_CI_CROP_SOV_CENTRE</t>
  </si>
  <si>
    <t>COTE D'IVOIRE CENTRE</t>
  </si>
  <si>
    <t>2021/2022</t>
  </si>
  <si>
    <t>8_DR_CI_CROP_SOV_NORD</t>
  </si>
  <si>
    <t>COTE D'IVOIRE NORD</t>
  </si>
  <si>
    <t>8_DR_ML_CROP_SOV</t>
  </si>
  <si>
    <t>8_DR_SN_CROP_SOV</t>
  </si>
  <si>
    <t>8_DR_BF_CROP_REP_WFP</t>
  </si>
  <si>
    <t>REPLICA_BURKINA FASO</t>
  </si>
  <si>
    <t>8_DR_ML_CROP_REP_WFP</t>
  </si>
  <si>
    <t>REPLICA_MALI</t>
  </si>
  <si>
    <t>8_DR_SN_CROP_REP_WFP</t>
  </si>
  <si>
    <t>REPLICA_SENEGAL</t>
  </si>
  <si>
    <t>8_DR_MR_CROP_SOV</t>
  </si>
  <si>
    <t>8_DR_MR_RANGE_SOV</t>
  </si>
  <si>
    <t>8_DR_MR_CROP_REP_WFP</t>
  </si>
  <si>
    <t>8_DR_MR_RANGE_REP_WFP</t>
  </si>
  <si>
    <t>8_DR_NE_CROP_SOV</t>
  </si>
  <si>
    <t>8_DR_GM_CROP_SOV</t>
  </si>
  <si>
    <t>8_DR_GM_CROP_REP_WFP</t>
  </si>
  <si>
    <t>8_DR_TG_CROP_SOV_NORD</t>
  </si>
  <si>
    <t>8_DR_TG_CROP_SOV_SUDPETITE</t>
  </si>
  <si>
    <t>8_DR_SD_CROP_SOV</t>
  </si>
  <si>
    <t>SUDAN CROP</t>
  </si>
  <si>
    <t>8_DR_SD_RANGE_SOV</t>
  </si>
  <si>
    <t>SUDAN RANGELAND</t>
  </si>
  <si>
    <t>8_DR_MG_CROP_SOV</t>
  </si>
  <si>
    <t>8_TC_MG_SOV</t>
  </si>
  <si>
    <t>8_DR_MW_CROP_SOV_NORTHERN</t>
  </si>
  <si>
    <t>8_DR_MW_CROP_SOV_CENTRAL</t>
  </si>
  <si>
    <t>8_DR_MW_CROP_SOV_SOUTHERN</t>
  </si>
  <si>
    <t>8_DR_MW_CROP_SOV_LOWERSHIRE</t>
  </si>
  <si>
    <t>8_DR_ZM_CROP_SOV</t>
  </si>
  <si>
    <t>8_DR_ZW_CROP_SOV</t>
  </si>
  <si>
    <t>8_DR_ZW_CROP_REP_SAVE</t>
  </si>
  <si>
    <t>REPLICA START NETWORK ZIMBABWE</t>
  </si>
  <si>
    <t>8_DR_ZW_CROP_REP_WFP</t>
  </si>
  <si>
    <t>REPLICA WFP ZIMBABWE</t>
  </si>
  <si>
    <t>7_DR_GM_CROP_SOV</t>
  </si>
  <si>
    <t>2020/2021</t>
  </si>
  <si>
    <t>7_DR_CI_CROP_SOV_CENTRE</t>
  </si>
  <si>
    <t>7_DR_CI_CROP_SOV_NORD</t>
  </si>
  <si>
    <t>7_DR_MR_CROP_SOV</t>
  </si>
  <si>
    <t>7_DR_NE_CROP_SOV</t>
  </si>
  <si>
    <t xml:space="preserve">NIGER </t>
  </si>
  <si>
    <t>7_DR_TG_CROP_SOV_NORD</t>
  </si>
  <si>
    <t>7_DR_TG_CROP_SOV_SUDPETITE</t>
  </si>
  <si>
    <t>7_DR_BF_CROP_REP_WFP</t>
  </si>
  <si>
    <t>7_DR_ML_CROP_REP_WFP</t>
  </si>
  <si>
    <t>7_DR_MR_CROP_REP_WFP</t>
  </si>
  <si>
    <t>REPLICA_MAURITANIA</t>
  </si>
  <si>
    <t>7_DR_GM_CROP_REP_WFP</t>
  </si>
  <si>
    <t xml:space="preserve">REPLICA_GAMBIA </t>
  </si>
  <si>
    <t>7_DR_MG_CROP_SOV</t>
  </si>
  <si>
    <t>MADAGASCAR_DROUGHT</t>
  </si>
  <si>
    <t>7_TC_MG_SOV</t>
  </si>
  <si>
    <t>MADAGASCAR_TROPICAL CYCLONE</t>
  </si>
  <si>
    <t>7_DR_MW_CROP_SOV</t>
  </si>
  <si>
    <t>7_DR_ZM_CROP_SOV</t>
  </si>
  <si>
    <t>7_DR_ZW_CROP_SOV</t>
  </si>
  <si>
    <t>7_DR_ZW_CROP_REP_WFP</t>
  </si>
  <si>
    <t>REPLICA_ZIMBABWE</t>
  </si>
  <si>
    <t>6_DR_GM_CROP_SOV</t>
  </si>
  <si>
    <t>2019/2020</t>
  </si>
  <si>
    <t>6_DR_ML_CROP_SOV</t>
  </si>
  <si>
    <t>6_DR_CI_CROP_SOV_CENTRE</t>
  </si>
  <si>
    <t>6_DR_CI_CROP_SOV_NORD</t>
  </si>
  <si>
    <t>6_DR_NE_CROP_SOV</t>
  </si>
  <si>
    <t>6_DR_SN_CROP_SOV</t>
  </si>
  <si>
    <t xml:space="preserve">SENEGAL </t>
  </si>
  <si>
    <t>6_DR_TD_CROP_SOV</t>
  </si>
  <si>
    <t>6_DR_ZW_CROP_SOV</t>
  </si>
  <si>
    <t>6_DR_MG_CROP_SOV</t>
  </si>
  <si>
    <t>6_DR_TG_CROP_SOV</t>
  </si>
  <si>
    <t>6_DR_BF_CROP_REP_WFP</t>
  </si>
  <si>
    <t>6_DR_ML_CROP_REP_WFP</t>
  </si>
  <si>
    <t>6_DR_MR_CROP_REP_WFP</t>
  </si>
  <si>
    <t>6_DR_SN_CROP_REP_WFP</t>
  </si>
  <si>
    <t>6_DR_ZW_CROP_REP_WFP</t>
  </si>
  <si>
    <t>6_DR_GM_CROP_REP_WFP</t>
  </si>
  <si>
    <t>5_DR_BF_CROP_SOV</t>
  </si>
  <si>
    <t>2018/2019</t>
  </si>
  <si>
    <t>5_DR_SN_CROP_SOV</t>
  </si>
  <si>
    <t>5_DR_GM_CROP_SOV</t>
  </si>
  <si>
    <t>4_DR_BF_CROP_SOV</t>
  </si>
  <si>
    <t>2017/2018</t>
  </si>
  <si>
    <t>4_DR_ML_CROP_SOV</t>
  </si>
  <si>
    <t>4_DR_MR_CROP_SOV</t>
  </si>
  <si>
    <t>4_DR_SN_CROP_SOV</t>
  </si>
  <si>
    <t>4_DR_GM_CROP_SOV</t>
  </si>
  <si>
    <t>3_DR_BF_CROP_SOV</t>
  </si>
  <si>
    <t>2016/2017</t>
  </si>
  <si>
    <t>3_DR_ML_CROP_SOV</t>
  </si>
  <si>
    <t>3_DR_MR_CROP_SOV</t>
  </si>
  <si>
    <t>3_DR_NE_CROP_SOV</t>
  </si>
  <si>
    <t>3_DR_SN_CROP_SOV</t>
  </si>
  <si>
    <t>3_DR_GM_CROP_SOV</t>
  </si>
  <si>
    <t>2_DR_KE_CROP_SOV_LONGRAINS_ARID</t>
  </si>
  <si>
    <t>KENYA (Long rains Arid)</t>
  </si>
  <si>
    <t>KENYA</t>
  </si>
  <si>
    <t>2015/2016</t>
  </si>
  <si>
    <t>2_DR_KE_CROP_SOV_LONGRAINS_SEMI-ARID</t>
  </si>
  <si>
    <t>KENYA (Long rains Semi-Arid)</t>
  </si>
  <si>
    <t>2_DR_KE_CROP_SOV_SHORTRAINS_ARID</t>
  </si>
  <si>
    <t>KENYA (Short rains Arid)</t>
  </si>
  <si>
    <t>2_DR_KE_CROP_SOV_SHORTRAINS_SEMI-ARID</t>
  </si>
  <si>
    <t>KENYA (Short rains Semi-Arid)</t>
  </si>
  <si>
    <t>2_DR_MW_CROP_SOV</t>
  </si>
  <si>
    <t>2_DR_ML_CROP_SOV</t>
  </si>
  <si>
    <t>2_DR_MR_CROP_SOV</t>
  </si>
  <si>
    <t>2_DR_NE_CROP_SOV</t>
  </si>
  <si>
    <t>2_DR_SN_CROP_SOV</t>
  </si>
  <si>
    <t>2_DR_GM_CROP_SOV</t>
  </si>
  <si>
    <t>1_DR_KE_CROP_SOV_LONGRAINS</t>
  </si>
  <si>
    <t>KENYA (Long Rains)</t>
  </si>
  <si>
    <t>2014/2015</t>
  </si>
  <si>
    <t>1_DR_KE_CROP_SOV_SHORTRAINS</t>
  </si>
  <si>
    <t>KENYA (Short Rains)</t>
  </si>
  <si>
    <t>1_DR_MR_CROP_SOV</t>
  </si>
  <si>
    <t>1_DR_NE_CROP_SOV</t>
  </si>
  <si>
    <t>1_DR_SN_CROP_SOV</t>
  </si>
  <si>
    <t>Programme Name </t>
  </si>
  <si>
    <t>Start Date </t>
  </si>
  <si>
    <t>End date </t>
  </si>
  <si>
    <t xml:space="preserve">Pool </t>
  </si>
  <si>
    <t>Country </t>
  </si>
  <si>
    <t>Insurance Company </t>
  </si>
  <si>
    <t>Other Key Partners </t>
  </si>
  <si>
    <t>Reinsurance type</t>
  </si>
  <si>
    <t>Original Currency</t>
  </si>
  <si>
    <t>Exchange rate to USD </t>
  </si>
  <si>
    <t>ARC Gross Premium  ($)</t>
  </si>
  <si>
    <t xml:space="preserve">ARC Net Premium </t>
  </si>
  <si>
    <t xml:space="preserve">Facultative Reinsurance Premium  </t>
  </si>
  <si>
    <t xml:space="preserve">ARC Commission </t>
  </si>
  <si>
    <t>Other provider fees</t>
  </si>
  <si>
    <t>Total SI ($)</t>
  </si>
  <si>
    <t>ARC  SI ($)</t>
  </si>
  <si>
    <t>Total Payout ($)</t>
  </si>
  <si>
    <t>ARC's  payout ($)</t>
  </si>
  <si>
    <t>Recovery from Fac ($)</t>
  </si>
  <si>
    <t>Comments</t>
  </si>
  <si>
    <t>L'Oreal</t>
  </si>
  <si>
    <t>Burkina Faso</t>
  </si>
  <si>
    <t>Axa</t>
  </si>
  <si>
    <t>Axa1</t>
  </si>
  <si>
    <t xml:space="preserve">Treaty </t>
  </si>
  <si>
    <t>XOF</t>
  </si>
  <si>
    <t xml:space="preserve">Payout finalised </t>
  </si>
  <si>
    <t>WFP Rice_Cote D’ivoire</t>
  </si>
  <si>
    <t>Cote D’ivoire</t>
  </si>
  <si>
    <t>Consortium</t>
  </si>
  <si>
    <t>Malawi Social Protection</t>
  </si>
  <si>
    <t>Malawi</t>
  </si>
  <si>
    <t>ARC Ltd</t>
  </si>
  <si>
    <t>Descartes</t>
  </si>
  <si>
    <t>USD</t>
  </si>
  <si>
    <t>DRIVE_Somalia</t>
  </si>
  <si>
    <t>Somalia</t>
  </si>
  <si>
    <t>Zep-Re</t>
  </si>
  <si>
    <t>ACRE Africa</t>
  </si>
  <si>
    <t>DRIVE_Ethiopia (Somali Region)</t>
  </si>
  <si>
    <t>Ethiopia</t>
  </si>
  <si>
    <t>DRIVE_Ethiopia (excl Somali Region)</t>
  </si>
  <si>
    <t>DRIVE_Kenya</t>
  </si>
  <si>
    <t>Kenya</t>
  </si>
  <si>
    <t>DRIVE_Somalia_MAM24</t>
  </si>
  <si>
    <t>DRIVE_Ethiopia (Somali Region)_MAM24</t>
  </si>
  <si>
    <t>DRIVE_Ethiopia (excl Somali Region)_MAM24</t>
  </si>
  <si>
    <t>DRIVE_Kenya_MAM24</t>
  </si>
  <si>
    <t>OAF_Kenya</t>
  </si>
  <si>
    <t>Mayfair Insurance</t>
  </si>
  <si>
    <t>Risk Shield</t>
  </si>
  <si>
    <t>Republic of Djibouti _Excess rainfall</t>
  </si>
  <si>
    <t>Djibouti</t>
  </si>
  <si>
    <t>Republic of Djibouti _Drought</t>
  </si>
  <si>
    <t>Waiting for final report</t>
  </si>
  <si>
    <t>WFP R4Madagascar (Rainy)</t>
  </si>
  <si>
    <t>Madagascar</t>
  </si>
  <si>
    <t>Assurances Reasssurances Omnibranches (ARO)</t>
  </si>
  <si>
    <t>Pula</t>
  </si>
  <si>
    <t>MGA</t>
  </si>
  <si>
    <t>WFP R4Madagascar (Dry)</t>
  </si>
  <si>
    <t>Payout finalised/ outstanding payout</t>
  </si>
  <si>
    <t>BOAD_Excess Precipitation</t>
  </si>
  <si>
    <t>West Africa</t>
  </si>
  <si>
    <t>Munich Re</t>
  </si>
  <si>
    <t>Euro</t>
  </si>
  <si>
    <t xml:space="preserve">IN Risk </t>
  </si>
  <si>
    <t>BOAD_Infectious_Disease</t>
  </si>
  <si>
    <t>BOAD_Drought</t>
  </si>
  <si>
    <t>WFP Gambia</t>
  </si>
  <si>
    <t>Gambia</t>
  </si>
  <si>
    <t>CNAAS and Continental Re</t>
  </si>
  <si>
    <t>Fac Oblig</t>
  </si>
  <si>
    <t>One Acre Fund Malawi</t>
  </si>
  <si>
    <t>BRITAM INS RETENTION</t>
  </si>
  <si>
    <t>WFP Malawi</t>
  </si>
  <si>
    <t xml:space="preserve">WFP R4Madagascar </t>
  </si>
  <si>
    <t xml:space="preserve">Flood Togo </t>
  </si>
  <si>
    <t>Togo</t>
  </si>
  <si>
    <t>SUNU</t>
  </si>
  <si>
    <t>Under review</t>
  </si>
  <si>
    <t>CREST (potential)</t>
  </si>
  <si>
    <t>Policy Holder</t>
  </si>
  <si>
    <t>WFP</t>
  </si>
  <si>
    <t>START Network</t>
  </si>
  <si>
    <t>UNHCR</t>
  </si>
  <si>
    <t>12_DR_BJ_CROP_SOV_NORD</t>
  </si>
  <si>
    <t>12_DR_BJ_CROP_SOV_SUD</t>
  </si>
  <si>
    <t>12_DR_BF_CROP_SOV</t>
  </si>
  <si>
    <t>12_DR_BF_CROP_RANGE</t>
  </si>
  <si>
    <t>12_DR_CI_CROP_SOV_NORD</t>
  </si>
  <si>
    <t>12_DR_GH_CROP_SOV_NORTH</t>
  </si>
  <si>
    <t>12_DR_GH_CROP_SOV_SOUTH</t>
  </si>
  <si>
    <t>12_DR_ML_CROP_SOV</t>
  </si>
  <si>
    <t>12_DR_MR_CROP_SOV_NORD</t>
  </si>
  <si>
    <t>12_DR_MR_CROP_SOV_SUD</t>
  </si>
  <si>
    <t>12_DR_NE_CROP_SOV</t>
  </si>
  <si>
    <t>12_DR_NE_RANGE_SOV</t>
  </si>
  <si>
    <t>12_DR_SN_CROP_REP_START</t>
  </si>
  <si>
    <t>12_DR_ML_CROP_REP_UNHCR</t>
  </si>
  <si>
    <t>12_DR_BF_CROP_REP_WFP</t>
  </si>
  <si>
    <t>12_DR_ML_CROP_REP_WFP</t>
  </si>
  <si>
    <t>12_DR_MR_RANGE_REP_WFP</t>
  </si>
  <si>
    <t>12_DR_SD_RANGE_REP_WFP</t>
  </si>
  <si>
    <t>12_DR_GM_CROP_REP_WFP</t>
  </si>
  <si>
    <t>12_DR_SN_CROP_SOV</t>
  </si>
  <si>
    <t>12_DR_SM_CROP_SOV_GU</t>
  </si>
  <si>
    <t>12_DR_SM_RANGE_SOV_GU</t>
  </si>
  <si>
    <t>12_DR_GM_CROP_SOV</t>
  </si>
  <si>
    <t>12_DR_TG_CROP_SOV_NORD</t>
  </si>
  <si>
    <t>12_DR_TG_CROP_SOV_SUD</t>
  </si>
  <si>
    <t>12_DR_CI_CROP_SOV_CENTRE</t>
  </si>
  <si>
    <t>12A</t>
  </si>
  <si>
    <t>2025/2026</t>
  </si>
  <si>
    <t>12_DR_MG_SOV</t>
  </si>
  <si>
    <t>12_DR_SM_RANGE_SOV_DEYR</t>
  </si>
  <si>
    <t>12_DR_SM_CROP_SOV_DEYR</t>
  </si>
  <si>
    <t>12_DR_SM_RANGE_REP_DEYR_START</t>
  </si>
  <si>
    <t>12_DR_SM_CROP_REP_DEYR_START</t>
  </si>
  <si>
    <t>12_DR_SM_CROP_REP_DEYR_WFP</t>
  </si>
  <si>
    <t>12_TC_KM_SOV</t>
  </si>
  <si>
    <t>12_TC_MG_SOV</t>
  </si>
  <si>
    <t>12_TC_MG_REP_START</t>
  </si>
  <si>
    <t>12_TC_MG_REP_WFP</t>
  </si>
  <si>
    <t>12_TC_MZ_REP_WFP</t>
  </si>
  <si>
    <t>12_DR_MZ_Z1_REP_WFP</t>
  </si>
  <si>
    <t>12_DR_MG_REP_WFP</t>
  </si>
  <si>
    <t>12_DR_ZM_REP_WFP</t>
  </si>
  <si>
    <t>12_DR_MW_CENTRAL_SOV</t>
  </si>
  <si>
    <t>12_DR_MW_LOWERSHIRE_SOV</t>
  </si>
  <si>
    <t>12_DR_MW_NORTHERN_SOV</t>
  </si>
  <si>
    <t>12_DR_MW_SOUTHERN_SOV</t>
  </si>
  <si>
    <t>12_DR_ZW_Z1&amp;Z2_SOV</t>
  </si>
  <si>
    <t>12_DR_ZW_Z3_SOV</t>
  </si>
  <si>
    <t>12_DR_ZW_Z4_SOV</t>
  </si>
  <si>
    <t>12_DR_ZW_Z5_SOV</t>
  </si>
  <si>
    <t>12_DR_ZW_Z4_REP</t>
  </si>
  <si>
    <t>12_DR_ZW_Z5_REP</t>
  </si>
  <si>
    <t>12_DR_ZM_SOV</t>
  </si>
  <si>
    <t>12_DR_ZM_AI_SOV</t>
  </si>
  <si>
    <t>12_DR_MZ_Z1_SOV</t>
  </si>
  <si>
    <t>12_DR_MZ_Z2_SOV</t>
  </si>
  <si>
    <t>12_DR_MZ_Z3_SOV</t>
  </si>
  <si>
    <t>12_DR_MZ_Z4_SOV</t>
  </si>
  <si>
    <t>12_DR_LS_RANGE_SOV</t>
  </si>
  <si>
    <t>12_DR_LS_CROP_SOV</t>
  </si>
  <si>
    <t>REPLICA START SOMALIA DEYR RANGELAND</t>
  </si>
  <si>
    <t>REPLICA START SOMALIA DEYR CROP</t>
  </si>
  <si>
    <t>REPLICA WFP SOMALIA DEYR CROP</t>
  </si>
  <si>
    <t>REPLICA START MADAGASCAR</t>
  </si>
  <si>
    <t>REPLICA WFP MADAGASCAR</t>
  </si>
  <si>
    <t>REPLICA WFP MOZAMBIQUE</t>
  </si>
  <si>
    <t>REPLICA WFP ZAMBIA</t>
  </si>
  <si>
    <t>MALAWI LOWERSHIRE</t>
  </si>
  <si>
    <t>ZIMBABWE Z1&amp;Z2</t>
  </si>
  <si>
    <t>ZIMBABWE Z3</t>
  </si>
  <si>
    <t>ZIMBABWE Z4</t>
  </si>
  <si>
    <t>ZIMBABWE Z5</t>
  </si>
  <si>
    <t>REPLICA WFP ZIMBABWE Z4</t>
  </si>
  <si>
    <t>REPLICA WFP  ZIMBABWE Z5</t>
  </si>
  <si>
    <t>ZAMBIA AI</t>
  </si>
  <si>
    <t>12B</t>
  </si>
  <si>
    <t>Total Premium</t>
  </si>
  <si>
    <t>KFW Financed Premium</t>
  </si>
  <si>
    <t>%</t>
  </si>
  <si>
    <t>TROPICAL CYCLONE</t>
  </si>
  <si>
    <t>12_FL_MG_SOV</t>
  </si>
  <si>
    <t>FLOOD</t>
  </si>
  <si>
    <t>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</si>
</sst>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_-;\-* #,##0_-;_-* &quot;-&quot;??_-;_-@_-"/>
    <numFmt numFmtId="165" formatCode="0.000%"/>
    <numFmt numFmtId="166" formatCode="yyyy\-mm\-dd\ hh:mm:ss"/>
    <numFmt numFmtId="174" formatCode="_-* #,##0.0000_-;\-* #,##0.00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0"/>
      <color theme="1"/>
      <name val="Trebuchet MS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43" fontId="1" fillId="0" borderId="0"/>
    <xf numFmtId="9" fontId="1" fillId="0" borderId="0"/>
    <xf numFmtId="43" fontId="1" fillId="0" borderId="0"/>
    <xf numFmtId="0" fontId="4" fillId="0" borderId="0"/>
    <xf numFmtId="0" fontId="1" fillId="0" borderId="0"/>
    <xf numFmtId="9" fontId="1" fillId="0" borderId="0"/>
  </cellStyleXfs>
  <cellXfs count="77">
    <xf numFmtId="0" fontId="0" fillId="0" borderId="0" xfId="0"/>
    <xf numFmtId="0" fontId="1" fillId="0" borderId="0" xfId="5"/>
    <xf numFmtId="0" fontId="3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1" xfId="3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9" fontId="3" fillId="0" borderId="1" xfId="6" applyFont="1" applyBorder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0" fontId="3" fillId="0" borderId="3" xfId="2" applyNumberFormat="1" applyFont="1" applyBorder="1" applyAlignment="1">
      <alignment horizontal="center" vertical="center"/>
    </xf>
    <xf numFmtId="9" fontId="3" fillId="0" borderId="3" xfId="2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64" fontId="3" fillId="0" borderId="1" xfId="1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4" fontId="2" fillId="0" borderId="5" xfId="1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4" fontId="3" fillId="0" borderId="7" xfId="3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9" fontId="3" fillId="0" borderId="7" xfId="2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9" fontId="2" fillId="0" borderId="6" xfId="2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164" fontId="3" fillId="0" borderId="5" xfId="1" applyNumberFormat="1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top"/>
    </xf>
    <xf numFmtId="166" fontId="0" fillId="0" borderId="0" xfId="0" applyNumberFormat="1"/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3" applyNumberFormat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9" fontId="3" fillId="0" borderId="15" xfId="2" applyFont="1" applyBorder="1" applyAlignment="1">
      <alignment horizontal="center" vertical="center" wrapText="1"/>
    </xf>
    <xf numFmtId="9" fontId="3" fillId="0" borderId="15" xfId="2" applyFont="1" applyBorder="1" applyAlignment="1">
      <alignment horizontal="center" vertical="center"/>
    </xf>
    <xf numFmtId="164" fontId="2" fillId="0" borderId="15" xfId="1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2" borderId="5" xfId="0" applyFont="1" applyFill="1" applyBorder="1" applyAlignment="1">
      <alignment horizontal="left" vertical="center"/>
    </xf>
    <xf numFmtId="0" fontId="3" fillId="0" borderId="1" xfId="5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64" fontId="1" fillId="0" borderId="15" xfId="1" applyNumberFormat="1" applyBorder="1"/>
    <xf numFmtId="0" fontId="8" fillId="0" borderId="16" xfId="0" applyFont="1" applyBorder="1" applyAlignment="1">
      <alignment horizontal="center" vertical="center" wrapText="1"/>
    </xf>
    <xf numFmtId="9" fontId="1" fillId="0" borderId="0" xfId="2"/>
    <xf numFmtId="49" fontId="3" fillId="0" borderId="15" xfId="0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174" fontId="3" fillId="0" borderId="1" xfId="1" applyNumberFormat="1" applyFont="1" applyBorder="1" applyAlignment="1">
      <alignment horizontal="center" vertical="center"/>
    </xf>
  </cellXfs>
  <cellStyles count="7">
    <cellStyle name="Comma" xfId="1" builtinId="3"/>
    <cellStyle name="Comma 2" xfId="3" xr:uid="{00000000-0005-0000-0000-000003000000}"/>
    <cellStyle name="Normal" xfId="0" builtinId="0"/>
    <cellStyle name="Normal 2" xfId="5" xr:uid="{00000000-0005-0000-0000-000005000000}"/>
    <cellStyle name="Normal 2 2" xfId="4" xr:uid="{00000000-0005-0000-0000-000004000000}"/>
    <cellStyle name="Percent" xfId="2" builtinId="5"/>
    <cellStyle name="Percent 2" xfId="6" xr:uid="{00000000-0005-0000-0000-00000600000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ltd.sharepoint.com/Shared%20Documents/ARCLtd_Underwriting/All%20Pools%20history.xlsx" TargetMode="External"/><Relationship Id="rId1" Type="http://schemas.openxmlformats.org/officeDocument/2006/relationships/externalLinkPath" Target="https://arcltd.sharepoint.com/Shared%20Documents/ARCLtd_Underwriting/All%20Pools%20his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IS Pools History"/>
      <sheetName val="Pools"/>
      <sheetName val="Sheet11"/>
      <sheetName val="Sheet12"/>
      <sheetName val="&gt;"/>
      <sheetName val="All Pools_Wesley C_Loadings"/>
      <sheetName val="CB_namingSyst"/>
      <sheetName val="Graphs"/>
      <sheetName val="Growth"/>
      <sheetName val="ADRiFi ADF"/>
      <sheetName val="REPLICA"/>
      <sheetName val="Sheet1"/>
      <sheetName val="Premium Arrears Tracker"/>
      <sheetName val="Danish Gov"/>
      <sheetName val="Working File"/>
      <sheetName val="Screen shots"/>
      <sheetName val="&gt;&gt;"/>
      <sheetName val="Sheet2"/>
      <sheetName val="Sheet3"/>
      <sheetName val="pivots"/>
      <sheetName val="Dashboard(General)"/>
      <sheetName val="Dashboard(PS)"/>
      <sheetName val="Sheet9"/>
      <sheetName val="MasterFile"/>
      <sheetName val="Sheet10"/>
      <sheetName val="Pools 10 claims"/>
      <sheetName val="Pools 11 Premiums"/>
      <sheetName val="All Pools_WC_Loadings_JE_TR"/>
      <sheetName val="Sheet8"/>
      <sheetName val="Sheet7"/>
      <sheetName val="Sheet6"/>
      <sheetName val="Sheet5"/>
      <sheetName val="Sheet4"/>
      <sheetName val="Per Year and Donor_V2"/>
    </sheetNames>
    <sheetDataSet>
      <sheetData sheetId="0"/>
      <sheetData sheetId="1">
        <row r="401">
          <cell r="B401" t="str">
            <v>Pool XII</v>
          </cell>
        </row>
        <row r="402">
          <cell r="B402" t="str">
            <v>Benin Nord</v>
          </cell>
        </row>
        <row r="403">
          <cell r="B403" t="str">
            <v>Benin Sud Petite</v>
          </cell>
        </row>
        <row r="404">
          <cell r="B404" t="str">
            <v>Burkina Faso Crop</v>
          </cell>
        </row>
        <row r="405">
          <cell r="B405" t="str">
            <v>Burkina Faso Rangeland</v>
          </cell>
        </row>
        <row r="406">
          <cell r="B406" t="str">
            <v>Côte d'Ivoire Centre</v>
          </cell>
        </row>
        <row r="407">
          <cell r="B407" t="str">
            <v>Côte d'Ivoire Nord</v>
          </cell>
        </row>
        <row r="408">
          <cell r="B408" t="str">
            <v>Ghana North</v>
          </cell>
        </row>
        <row r="409">
          <cell r="B409" t="str">
            <v>Ghana South Short-Rains</v>
          </cell>
        </row>
        <row r="410">
          <cell r="B410" t="str">
            <v>Mali Crop</v>
          </cell>
        </row>
        <row r="411">
          <cell r="B411" t="str">
            <v>Mauritania Nord Crop</v>
          </cell>
        </row>
        <row r="412">
          <cell r="B412" t="str">
            <v>Mauritania Sud Crop</v>
          </cell>
        </row>
        <row r="413">
          <cell r="B413" t="str">
            <v>Niger Crop</v>
          </cell>
        </row>
        <row r="414">
          <cell r="B414" t="str">
            <v>Niger Rangeland</v>
          </cell>
        </row>
        <row r="415">
          <cell r="B415" t="str">
            <v>Replica START Senegal Crop</v>
          </cell>
        </row>
        <row r="416">
          <cell r="B416" t="str">
            <v>Replica UNHCR Mali Crop</v>
          </cell>
        </row>
        <row r="417">
          <cell r="B417" t="str">
            <v>Replica WFP Burkina Faso Crop</v>
          </cell>
        </row>
        <row r="418">
          <cell r="B418" t="str">
            <v>Replica WFP Mali Crop</v>
          </cell>
        </row>
        <row r="419">
          <cell r="B419" t="str">
            <v>Replica WFP Mauritania Rangeland</v>
          </cell>
        </row>
        <row r="420">
          <cell r="B420" t="str">
            <v>Replica WFP Sudan Crop</v>
          </cell>
        </row>
        <row r="421">
          <cell r="B421" t="str">
            <v>Replica WFP The Gambia</v>
          </cell>
        </row>
        <row r="422">
          <cell r="B422" t="str">
            <v>Senegal Crop</v>
          </cell>
        </row>
        <row r="423">
          <cell r="B423" t="str">
            <v>Somalia Gu Crop</v>
          </cell>
        </row>
        <row r="424">
          <cell r="B424" t="str">
            <v>Somalia Gu Rangeland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92"/>
  <sheetViews>
    <sheetView tabSelected="1" zoomScaleNormal="100" workbookViewId="0">
      <pane xSplit="1" topLeftCell="G1" activePane="topRight" state="frozen"/>
      <selection pane="topRight" activeCell="T39" sqref="T39"/>
    </sheetView>
  </sheetViews>
  <sheetFormatPr defaultRowHeight="15" x14ac:dyDescent="0.25"/>
  <cols>
    <col min="1" max="1" width="43.28515625" bestFit="1" customWidth="1"/>
    <col min="2" max="2" width="49.140625" bestFit="1" customWidth="1"/>
    <col min="3" max="3" width="6.85546875" bestFit="1" customWidth="1"/>
    <col min="4" max="4" width="13.5703125" bestFit="1" customWidth="1"/>
    <col min="5" max="5" width="13.42578125" bestFit="1" customWidth="1"/>
    <col min="6" max="6" width="11" bestFit="1" customWidth="1"/>
    <col min="7" max="7" width="18.42578125" bestFit="1" customWidth="1"/>
    <col min="8" max="8" width="14.140625" bestFit="1" customWidth="1"/>
    <col min="9" max="9" width="4.5703125" bestFit="1" customWidth="1"/>
    <col min="10" max="10" width="11" bestFit="1" customWidth="1"/>
    <col min="11" max="11" width="10" bestFit="1" customWidth="1"/>
    <col min="12" max="12" width="12" bestFit="1" customWidth="1"/>
    <col min="13" max="13" width="13.5703125" bestFit="1" customWidth="1"/>
    <col min="14" max="14" width="8.28515625" bestFit="1" customWidth="1"/>
    <col min="15" max="15" width="11" bestFit="1" customWidth="1"/>
    <col min="16" max="16" width="14.5703125" bestFit="1" customWidth="1"/>
    <col min="17" max="17" width="11.5703125" bestFit="1" customWidth="1"/>
    <col min="18" max="18" width="15.42578125" bestFit="1" customWidth="1"/>
    <col min="19" max="19" width="13.140625" bestFit="1" customWidth="1"/>
    <col min="20" max="20" width="25.7109375" bestFit="1" customWidth="1"/>
    <col min="21" max="21" width="23" bestFit="1" customWidth="1"/>
    <col min="22" max="22" width="28.140625" bestFit="1" customWidth="1"/>
    <col min="23" max="23" width="29.42578125" bestFit="1" customWidth="1"/>
    <col min="24" max="24" width="24.7109375" bestFit="1" customWidth="1"/>
    <col min="25" max="25" width="32.28515625" bestFit="1" customWidth="1"/>
    <col min="26" max="26" width="23" bestFit="1" customWidth="1"/>
    <col min="27" max="27" width="22.7109375" bestFit="1" customWidth="1"/>
    <col min="28" max="28" width="23.7109375" bestFit="1" customWidth="1"/>
    <col min="29" max="29" width="30" bestFit="1" customWidth="1"/>
    <col min="30" max="30" width="25" bestFit="1" customWidth="1"/>
    <col min="31" max="31" width="22" bestFit="1" customWidth="1"/>
    <col min="32" max="32" width="18.85546875" bestFit="1" customWidth="1"/>
    <col min="33" max="33" width="21.140625" bestFit="1" customWidth="1"/>
    <col min="34" max="34" width="26.140625" bestFit="1" customWidth="1"/>
    <col min="35" max="35" width="21.140625" bestFit="1" customWidth="1"/>
    <col min="36" max="36" width="28.28515625" bestFit="1" customWidth="1"/>
    <col min="37" max="37" width="19.140625" bestFit="1" customWidth="1"/>
    <col min="38" max="38" width="19" bestFit="1" customWidth="1"/>
    <col min="39" max="39" width="20.140625" bestFit="1" customWidth="1"/>
    <col min="40" max="40" width="26.28515625" bestFit="1" customWidth="1"/>
    <col min="41" max="41" width="32.42578125" bestFit="1" customWidth="1"/>
    <col min="42" max="42" width="29.28515625" bestFit="1" customWidth="1"/>
    <col min="43" max="43" width="31.42578125" bestFit="1" customWidth="1"/>
    <col min="44" max="44" width="36.5703125" bestFit="1" customWidth="1"/>
    <col min="45" max="45" width="32.28515625" bestFit="1" customWidth="1"/>
    <col min="46" max="46" width="31.42578125" bestFit="1" customWidth="1"/>
    <col min="47" max="47" width="22.140625" bestFit="1" customWidth="1"/>
    <col min="48" max="48" width="21.5703125" bestFit="1" customWidth="1"/>
    <col min="49" max="49" width="22.85546875" bestFit="1" customWidth="1"/>
    <col min="50" max="50" width="29.28515625" bestFit="1" customWidth="1"/>
  </cols>
  <sheetData>
    <row r="1" spans="1:30" ht="15.75" thickBot="1" x14ac:dyDescent="0.3">
      <c r="A1" s="46" t="s">
        <v>0</v>
      </c>
      <c r="B1" s="46" t="s">
        <v>1</v>
      </c>
      <c r="C1" s="60" t="s">
        <v>2</v>
      </c>
      <c r="D1" s="40" t="s">
        <v>3</v>
      </c>
      <c r="E1" s="40" t="s">
        <v>533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0" t="s">
        <v>9</v>
      </c>
      <c r="L1" s="40" t="s">
        <v>10</v>
      </c>
      <c r="M1" s="40" t="s">
        <v>11</v>
      </c>
      <c r="N1" s="41" t="s">
        <v>12</v>
      </c>
      <c r="O1" s="40" t="s">
        <v>13</v>
      </c>
      <c r="P1" s="40" t="s">
        <v>14</v>
      </c>
      <c r="Q1" s="40" t="s">
        <v>15</v>
      </c>
      <c r="R1" s="40" t="s">
        <v>16</v>
      </c>
      <c r="S1" s="40" t="s">
        <v>17</v>
      </c>
      <c r="T1" s="40" t="s">
        <v>18</v>
      </c>
      <c r="U1" s="40" t="s">
        <v>19</v>
      </c>
      <c r="V1" s="40" t="s">
        <v>20</v>
      </c>
      <c r="W1" s="40" t="s">
        <v>21</v>
      </c>
      <c r="X1" s="40" t="s">
        <v>22</v>
      </c>
      <c r="Y1" s="40" t="s">
        <v>23</v>
      </c>
      <c r="Z1" s="40" t="s">
        <v>24</v>
      </c>
      <c r="AA1" s="40" t="s">
        <v>25</v>
      </c>
      <c r="AB1" s="40" t="s">
        <v>26</v>
      </c>
      <c r="AC1" s="40" t="s">
        <v>27</v>
      </c>
      <c r="AD1" s="42" t="s">
        <v>28</v>
      </c>
    </row>
    <row r="2" spans="1:30" x14ac:dyDescent="0.25">
      <c r="A2" s="47" t="s">
        <v>537</v>
      </c>
      <c r="B2" s="47" t="str">
        <f>UPPER([1]Pools!$B399)</f>
        <v/>
      </c>
      <c r="C2" s="61" t="s">
        <v>31</v>
      </c>
      <c r="D2" s="62" t="s">
        <v>70</v>
      </c>
      <c r="E2" s="62" t="s">
        <v>3</v>
      </c>
      <c r="F2" s="31" t="s">
        <v>33</v>
      </c>
      <c r="G2" s="31" t="s">
        <v>34</v>
      </c>
      <c r="H2" s="31" t="s">
        <v>35</v>
      </c>
      <c r="I2" s="43" t="s">
        <v>563</v>
      </c>
      <c r="J2" s="31" t="s">
        <v>564</v>
      </c>
      <c r="K2" s="35">
        <v>339278</v>
      </c>
      <c r="L2" s="36">
        <v>12384366</v>
      </c>
      <c r="M2" s="36">
        <v>23349472</v>
      </c>
      <c r="N2" s="37">
        <v>0.16000000364793554</v>
      </c>
      <c r="O2" s="36">
        <v>1754417</v>
      </c>
      <c r="P2" s="36"/>
      <c r="Q2" s="37">
        <v>0.19338503901865975</v>
      </c>
      <c r="R2" s="2">
        <v>1.6</v>
      </c>
      <c r="S2" s="36">
        <f>K2/R2</f>
        <v>212048.75</v>
      </c>
      <c r="T2" s="36"/>
      <c r="U2" s="36"/>
      <c r="V2" s="36"/>
      <c r="W2" s="36">
        <v>339278</v>
      </c>
      <c r="X2" s="36"/>
      <c r="Y2" s="36"/>
      <c r="Z2" s="36"/>
      <c r="AA2" s="38"/>
      <c r="AB2" s="38"/>
      <c r="AC2" s="38"/>
      <c r="AD2" s="39"/>
    </row>
    <row r="3" spans="1:30" x14ac:dyDescent="0.25">
      <c r="A3" s="47" t="s">
        <v>538</v>
      </c>
      <c r="B3" s="47" t="str">
        <f>UPPER([1]Pools!$B400)</f>
        <v/>
      </c>
      <c r="C3" s="63" t="s">
        <v>31</v>
      </c>
      <c r="D3" s="23" t="s">
        <v>70</v>
      </c>
      <c r="E3" s="64" t="s">
        <v>3</v>
      </c>
      <c r="F3" s="2" t="s">
        <v>33</v>
      </c>
      <c r="G3" s="31" t="s">
        <v>34</v>
      </c>
      <c r="H3" s="2" t="s">
        <v>35</v>
      </c>
      <c r="I3" s="44" t="s">
        <v>563</v>
      </c>
      <c r="J3" s="2" t="s">
        <v>564</v>
      </c>
      <c r="K3" s="7">
        <v>470022</v>
      </c>
      <c r="L3" s="5">
        <v>12970840</v>
      </c>
      <c r="M3" s="5">
        <v>42734054</v>
      </c>
      <c r="N3" s="8">
        <v>6.7197043975156717E-2</v>
      </c>
      <c r="O3" s="5">
        <v>2000000</v>
      </c>
      <c r="P3" s="5">
        <v>1467765</v>
      </c>
      <c r="Q3" s="8">
        <v>0.235011</v>
      </c>
      <c r="R3" s="2">
        <v>1.6</v>
      </c>
      <c r="S3" s="36">
        <f t="shared" ref="S3:S36" si="0">K3/R3</f>
        <v>293763.75</v>
      </c>
      <c r="T3" s="5"/>
      <c r="U3" s="5"/>
      <c r="V3" s="5"/>
      <c r="W3" s="5">
        <v>470022</v>
      </c>
      <c r="X3" s="5"/>
      <c r="Y3" s="5"/>
      <c r="Z3" s="5"/>
      <c r="AA3" s="3"/>
      <c r="AB3" s="3"/>
      <c r="AC3" s="3"/>
      <c r="AD3" s="29"/>
    </row>
    <row r="4" spans="1:30" x14ac:dyDescent="0.25">
      <c r="A4" s="47" t="s">
        <v>539</v>
      </c>
      <c r="B4" s="47" t="str">
        <f>UPPER([1]Pools!$B401)</f>
        <v>POOL XII</v>
      </c>
      <c r="C4" s="2" t="s">
        <v>31</v>
      </c>
      <c r="D4" s="22" t="s">
        <v>40</v>
      </c>
      <c r="E4" s="64" t="s">
        <v>3</v>
      </c>
      <c r="F4" s="2" t="s">
        <v>33</v>
      </c>
      <c r="G4" s="31" t="s">
        <v>34</v>
      </c>
      <c r="H4" s="2" t="s">
        <v>35</v>
      </c>
      <c r="I4" s="44" t="s">
        <v>563</v>
      </c>
      <c r="J4" s="2" t="s">
        <v>564</v>
      </c>
      <c r="K4" s="7">
        <v>1225493</v>
      </c>
      <c r="L4" s="5">
        <v>45978150</v>
      </c>
      <c r="M4" s="5">
        <v>90895230</v>
      </c>
      <c r="N4" s="8">
        <v>0.14439999216333743</v>
      </c>
      <c r="O4" s="5">
        <v>6486026</v>
      </c>
      <c r="P4" s="5"/>
      <c r="Q4" s="8">
        <v>0.18894358425328545</v>
      </c>
      <c r="R4" s="2">
        <v>1.6</v>
      </c>
      <c r="S4" s="36">
        <f t="shared" si="0"/>
        <v>765933.125</v>
      </c>
      <c r="T4" s="5">
        <v>200000</v>
      </c>
      <c r="U4" s="5"/>
      <c r="V4" s="5"/>
      <c r="W4" s="5">
        <v>500000</v>
      </c>
      <c r="X4" s="5"/>
      <c r="Y4" s="5"/>
      <c r="Z4" s="5"/>
      <c r="AA4" s="3"/>
      <c r="AB4" s="3"/>
      <c r="AC4" s="3"/>
      <c r="AD4" s="29"/>
    </row>
    <row r="5" spans="1:30" x14ac:dyDescent="0.25">
      <c r="A5" s="47" t="s">
        <v>540</v>
      </c>
      <c r="B5" s="47" t="str">
        <f>UPPER([1]Pools!$B402)</f>
        <v>BENIN NORD</v>
      </c>
      <c r="C5" s="2" t="s">
        <v>31</v>
      </c>
      <c r="D5" s="22" t="s">
        <v>40</v>
      </c>
      <c r="E5" s="64" t="s">
        <v>3</v>
      </c>
      <c r="F5" s="2" t="s">
        <v>33</v>
      </c>
      <c r="G5" s="31" t="s">
        <v>48</v>
      </c>
      <c r="H5" s="2" t="s">
        <v>35</v>
      </c>
      <c r="I5" s="44" t="s">
        <v>563</v>
      </c>
      <c r="J5" s="2" t="s">
        <v>564</v>
      </c>
      <c r="K5" s="7">
        <v>174507</v>
      </c>
      <c r="L5" s="5">
        <v>21182555</v>
      </c>
      <c r="M5" s="5">
        <v>43373688</v>
      </c>
      <c r="N5" s="8">
        <v>3.379728290574438E-2</v>
      </c>
      <c r="O5" s="5">
        <v>750000</v>
      </c>
      <c r="P5" s="5"/>
      <c r="Q5" s="8">
        <v>0.23267599999999999</v>
      </c>
      <c r="R5" s="2">
        <v>1.6</v>
      </c>
      <c r="S5" s="36">
        <f t="shared" si="0"/>
        <v>109066.875</v>
      </c>
      <c r="T5" s="5">
        <v>200000</v>
      </c>
      <c r="U5" s="5"/>
      <c r="V5" s="5"/>
      <c r="W5" s="5">
        <v>500000</v>
      </c>
      <c r="X5" s="5"/>
      <c r="Y5" s="5"/>
      <c r="Z5" s="5"/>
      <c r="AA5" s="3"/>
      <c r="AB5" s="3"/>
      <c r="AC5" s="3"/>
      <c r="AD5" s="29"/>
    </row>
    <row r="6" spans="1:30" x14ac:dyDescent="0.25">
      <c r="A6" s="47" t="s">
        <v>562</v>
      </c>
      <c r="B6" s="47" t="str">
        <f>UPPER([1]Pools!$B403)</f>
        <v>BENIN SUD PETITE</v>
      </c>
      <c r="C6" s="2" t="s">
        <v>31</v>
      </c>
      <c r="D6" s="22" t="s">
        <v>32</v>
      </c>
      <c r="E6" s="64" t="s">
        <v>3</v>
      </c>
      <c r="F6" s="2" t="s">
        <v>33</v>
      </c>
      <c r="G6" s="31" t="s">
        <v>34</v>
      </c>
      <c r="H6" s="2" t="s">
        <v>35</v>
      </c>
      <c r="I6" s="44" t="s">
        <v>563</v>
      </c>
      <c r="J6" s="2" t="s">
        <v>564</v>
      </c>
      <c r="K6" s="7">
        <v>750000</v>
      </c>
      <c r="L6" s="5">
        <v>4675200</v>
      </c>
      <c r="M6" s="5">
        <v>28495743</v>
      </c>
      <c r="N6" s="8">
        <v>0.16999998698602295</v>
      </c>
      <c r="O6" s="5">
        <v>4049492</v>
      </c>
      <c r="P6" s="5"/>
      <c r="Q6" s="8">
        <v>0.18520841626554641</v>
      </c>
      <c r="R6" s="2">
        <v>1.6</v>
      </c>
      <c r="S6" s="36">
        <f t="shared" si="0"/>
        <v>468750</v>
      </c>
      <c r="T6" s="5">
        <v>750000</v>
      </c>
      <c r="U6" s="5"/>
      <c r="V6" s="5"/>
      <c r="W6" s="5"/>
      <c r="X6" s="5"/>
      <c r="Y6" s="5"/>
      <c r="Z6" s="5"/>
      <c r="AA6" s="3"/>
      <c r="AB6" s="3"/>
      <c r="AC6" s="3"/>
      <c r="AD6" s="29"/>
    </row>
    <row r="7" spans="1:30" x14ac:dyDescent="0.25">
      <c r="A7" s="47" t="s">
        <v>541</v>
      </c>
      <c r="B7" s="47" t="str">
        <f>UPPER([1]Pools!$B404)</f>
        <v>BURKINA FASO CROP</v>
      </c>
      <c r="C7" s="2" t="s">
        <v>31</v>
      </c>
      <c r="D7" s="22" t="s">
        <v>32</v>
      </c>
      <c r="E7" s="64" t="s">
        <v>3</v>
      </c>
      <c r="F7" s="2" t="s">
        <v>33</v>
      </c>
      <c r="G7" s="31" t="s">
        <v>34</v>
      </c>
      <c r="H7" s="2" t="s">
        <v>35</v>
      </c>
      <c r="I7" s="44" t="s">
        <v>563</v>
      </c>
      <c r="J7" s="2" t="s">
        <v>564</v>
      </c>
      <c r="K7" s="7">
        <v>750000</v>
      </c>
      <c r="L7" s="5">
        <v>7515075</v>
      </c>
      <c r="M7" s="5">
        <v>41918371</v>
      </c>
      <c r="N7" s="8">
        <v>0.125</v>
      </c>
      <c r="O7" s="5">
        <v>4300412</v>
      </c>
      <c r="P7" s="5">
        <v>435203</v>
      </c>
      <c r="Q7" s="8">
        <v>0.17440189451615334</v>
      </c>
      <c r="R7" s="2">
        <v>1.6</v>
      </c>
      <c r="S7" s="36">
        <f t="shared" si="0"/>
        <v>468750</v>
      </c>
      <c r="T7" s="5">
        <v>750000</v>
      </c>
      <c r="U7" s="5"/>
      <c r="V7" s="5"/>
      <c r="W7" s="5"/>
      <c r="X7" s="5"/>
      <c r="Y7" s="5"/>
      <c r="Z7" s="5"/>
      <c r="AA7" s="3"/>
      <c r="AB7" s="3"/>
      <c r="AC7" s="3"/>
      <c r="AD7" s="29"/>
    </row>
    <row r="8" spans="1:30" x14ac:dyDescent="0.25">
      <c r="A8" s="47" t="s">
        <v>542</v>
      </c>
      <c r="B8" s="47" t="str">
        <f>UPPER([1]Pools!$B405)</f>
        <v>BURKINA FASO RANGELAND</v>
      </c>
      <c r="C8" s="2" t="s">
        <v>31</v>
      </c>
      <c r="D8" s="22" t="s">
        <v>60</v>
      </c>
      <c r="E8" s="53" t="s">
        <v>3</v>
      </c>
      <c r="F8" s="2" t="s">
        <v>33</v>
      </c>
      <c r="G8" s="31" t="s">
        <v>34</v>
      </c>
      <c r="H8" s="2" t="s">
        <v>35</v>
      </c>
      <c r="I8" s="44" t="s">
        <v>563</v>
      </c>
      <c r="J8" s="2" t="s">
        <v>564</v>
      </c>
      <c r="K8" s="7">
        <v>650000</v>
      </c>
      <c r="L8" s="5">
        <v>5384400</v>
      </c>
      <c r="M8" s="5">
        <v>40147240</v>
      </c>
      <c r="N8" s="8">
        <v>9.0884424851909978E-2</v>
      </c>
      <c r="O8" s="5">
        <v>3159400.7196189701</v>
      </c>
      <c r="P8" s="5">
        <v>1100072.3491615066</v>
      </c>
      <c r="Q8" s="8">
        <v>0.2057352193293136</v>
      </c>
      <c r="R8" s="2">
        <v>1.6</v>
      </c>
      <c r="S8" s="36">
        <f t="shared" si="0"/>
        <v>406250</v>
      </c>
      <c r="T8" s="5"/>
      <c r="U8" s="5">
        <v>400000</v>
      </c>
      <c r="V8" s="5"/>
      <c r="W8" s="5"/>
      <c r="X8" s="5"/>
      <c r="Y8" s="5"/>
      <c r="Z8" s="5"/>
      <c r="AA8" s="3"/>
      <c r="AB8" s="3"/>
      <c r="AC8" s="3">
        <v>250000</v>
      </c>
      <c r="AD8" s="29"/>
    </row>
    <row r="9" spans="1:30" x14ac:dyDescent="0.25">
      <c r="A9" s="47" t="s">
        <v>543</v>
      </c>
      <c r="B9" s="47" t="str">
        <f>UPPER([1]Pools!$B406)</f>
        <v>CÔTE D'IVOIRE CENTRE</v>
      </c>
      <c r="C9" s="2" t="s">
        <v>31</v>
      </c>
      <c r="D9" s="22" t="s">
        <v>60</v>
      </c>
      <c r="E9" s="62" t="s">
        <v>3</v>
      </c>
      <c r="F9" s="2" t="s">
        <v>33</v>
      </c>
      <c r="G9" s="31" t="s">
        <v>34</v>
      </c>
      <c r="H9" s="2" t="s">
        <v>35</v>
      </c>
      <c r="I9" s="44" t="s">
        <v>563</v>
      </c>
      <c r="J9" s="2" t="s">
        <v>564</v>
      </c>
      <c r="K9" s="7">
        <v>650000</v>
      </c>
      <c r="L9" s="5">
        <v>12386420</v>
      </c>
      <c r="M9" s="5">
        <v>21090000</v>
      </c>
      <c r="N9" s="8">
        <v>0.27779339076563897</v>
      </c>
      <c r="O9" s="5">
        <v>2417797</v>
      </c>
      <c r="P9" s="5"/>
      <c r="Q9" s="8">
        <v>0.26883977438966133</v>
      </c>
      <c r="R9" s="2">
        <v>1.6</v>
      </c>
      <c r="S9" s="36">
        <f t="shared" si="0"/>
        <v>406250</v>
      </c>
      <c r="T9" s="5"/>
      <c r="U9" s="5">
        <v>400000</v>
      </c>
      <c r="V9" s="5"/>
      <c r="W9" s="5"/>
      <c r="X9" s="5"/>
      <c r="Y9" s="5"/>
      <c r="Z9" s="5"/>
      <c r="AA9" s="3"/>
      <c r="AB9" s="3"/>
      <c r="AC9" s="3">
        <v>250000</v>
      </c>
      <c r="AD9" s="29"/>
    </row>
    <row r="10" spans="1:30" x14ac:dyDescent="0.25">
      <c r="A10" s="47" t="s">
        <v>544</v>
      </c>
      <c r="B10" s="47" t="str">
        <f>UPPER([1]Pools!$B407)</f>
        <v>CÔTE D'IVOIRE NORD</v>
      </c>
      <c r="C10" s="2" t="s">
        <v>31</v>
      </c>
      <c r="D10" s="22" t="s">
        <v>44</v>
      </c>
      <c r="E10" s="62" t="s">
        <v>3</v>
      </c>
      <c r="F10" s="2" t="s">
        <v>33</v>
      </c>
      <c r="G10" s="31" t="s">
        <v>34</v>
      </c>
      <c r="H10" s="2" t="s">
        <v>35</v>
      </c>
      <c r="I10" s="44" t="s">
        <v>563</v>
      </c>
      <c r="J10" s="2" t="s">
        <v>564</v>
      </c>
      <c r="K10" s="7">
        <v>1500000</v>
      </c>
      <c r="L10" s="5">
        <v>31126675</v>
      </c>
      <c r="M10" s="5">
        <v>61513361</v>
      </c>
      <c r="N10" s="8">
        <v>0.26611154635289941</v>
      </c>
      <c r="O10" s="5">
        <v>8086248</v>
      </c>
      <c r="P10" s="5"/>
      <c r="Q10" s="8">
        <v>0.18550012317208178</v>
      </c>
      <c r="R10" s="2">
        <v>1.6</v>
      </c>
      <c r="S10" s="36">
        <f t="shared" si="0"/>
        <v>937500</v>
      </c>
      <c r="T10" s="5"/>
      <c r="U10" s="5">
        <v>500000</v>
      </c>
      <c r="V10" s="5">
        <v>1000000</v>
      </c>
      <c r="W10" s="5"/>
      <c r="X10" s="5"/>
      <c r="Y10" s="5"/>
      <c r="Z10" s="5"/>
      <c r="AA10" s="3"/>
      <c r="AB10" s="3"/>
      <c r="AC10" s="3"/>
      <c r="AD10" s="29"/>
    </row>
    <row r="11" spans="1:30" x14ac:dyDescent="0.25">
      <c r="A11" s="47" t="s">
        <v>545</v>
      </c>
      <c r="B11" s="47" t="str">
        <f>UPPER([1]Pools!$B408)</f>
        <v>GHANA NORTH</v>
      </c>
      <c r="C11" s="2" t="s">
        <v>31</v>
      </c>
      <c r="D11" s="22" t="s">
        <v>47</v>
      </c>
      <c r="E11" s="62" t="s">
        <v>3</v>
      </c>
      <c r="F11" s="2" t="s">
        <v>33</v>
      </c>
      <c r="G11" s="31" t="s">
        <v>34</v>
      </c>
      <c r="H11" s="2" t="s">
        <v>35</v>
      </c>
      <c r="I11" s="44" t="s">
        <v>563</v>
      </c>
      <c r="J11" s="2" t="s">
        <v>564</v>
      </c>
      <c r="K11" s="7">
        <v>500000</v>
      </c>
      <c r="L11" s="5">
        <v>7382544</v>
      </c>
      <c r="M11" s="5">
        <v>23077459</v>
      </c>
      <c r="N11" s="8">
        <v>0.14750000238930888</v>
      </c>
      <c r="O11" s="5">
        <v>2315000</v>
      </c>
      <c r="P11" s="5"/>
      <c r="Q11" s="8">
        <v>0.21598272138228941</v>
      </c>
      <c r="R11" s="2">
        <v>1.6</v>
      </c>
      <c r="S11" s="36">
        <f t="shared" si="0"/>
        <v>312500</v>
      </c>
      <c r="T11" s="5">
        <v>375000</v>
      </c>
      <c r="U11" s="5">
        <v>375000</v>
      </c>
      <c r="V11" s="5"/>
      <c r="W11" s="5"/>
      <c r="X11" s="5"/>
      <c r="Y11" s="5"/>
      <c r="Z11" s="5"/>
      <c r="AA11" s="3"/>
      <c r="AB11" s="3"/>
      <c r="AC11" s="3"/>
      <c r="AD11" s="29"/>
    </row>
    <row r="12" spans="1:30" x14ac:dyDescent="0.25">
      <c r="A12" s="47" t="s">
        <v>546</v>
      </c>
      <c r="B12" s="47" t="str">
        <f>UPPER([1]Pools!$B409)</f>
        <v>GHANA SOUTH SHORT-RAINS</v>
      </c>
      <c r="C12" s="2" t="s">
        <v>31</v>
      </c>
      <c r="D12" s="22" t="s">
        <v>47</v>
      </c>
      <c r="E12" s="62" t="s">
        <v>3</v>
      </c>
      <c r="F12" s="2" t="s">
        <v>33</v>
      </c>
      <c r="G12" s="31" t="s">
        <v>34</v>
      </c>
      <c r="H12" s="2" t="s">
        <v>35</v>
      </c>
      <c r="I12" s="44" t="s">
        <v>563</v>
      </c>
      <c r="J12" s="2" t="s">
        <v>564</v>
      </c>
      <c r="K12" s="7">
        <v>1000000</v>
      </c>
      <c r="L12" s="5">
        <v>8558616</v>
      </c>
      <c r="M12" s="5">
        <v>24431580</v>
      </c>
      <c r="N12" s="8">
        <v>0.30699011224368683</v>
      </c>
      <c r="O12" s="5">
        <v>4872843</v>
      </c>
      <c r="P12" s="5"/>
      <c r="Q12" s="8">
        <v>0.2052190066456071</v>
      </c>
      <c r="R12" s="2">
        <v>1.6</v>
      </c>
      <c r="S12" s="36">
        <f t="shared" si="0"/>
        <v>625000</v>
      </c>
      <c r="T12" s="5">
        <v>375000</v>
      </c>
      <c r="U12" s="5">
        <v>375000</v>
      </c>
      <c r="V12" s="5"/>
      <c r="W12" s="5"/>
      <c r="X12" s="5"/>
      <c r="Y12" s="5"/>
      <c r="Z12" s="5"/>
      <c r="AA12" s="3"/>
      <c r="AB12" s="3"/>
      <c r="AC12" s="3"/>
      <c r="AD12" s="29"/>
    </row>
    <row r="13" spans="1:30" x14ac:dyDescent="0.25">
      <c r="A13" s="47" t="s">
        <v>547</v>
      </c>
      <c r="B13" s="47" t="str">
        <f>UPPER([1]Pools!$B410)</f>
        <v>MALI CROP</v>
      </c>
      <c r="C13" s="2" t="s">
        <v>31</v>
      </c>
      <c r="D13" s="22" t="s">
        <v>218</v>
      </c>
      <c r="E13" s="62" t="s">
        <v>3</v>
      </c>
      <c r="F13" s="2" t="s">
        <v>33</v>
      </c>
      <c r="G13" s="31" t="s">
        <v>34</v>
      </c>
      <c r="H13" s="2" t="s">
        <v>35</v>
      </c>
      <c r="I13" s="44" t="s">
        <v>563</v>
      </c>
      <c r="J13" s="2" t="s">
        <v>564</v>
      </c>
      <c r="K13" s="7">
        <v>330708</v>
      </c>
      <c r="L13" s="5">
        <v>169310640</v>
      </c>
      <c r="M13" s="5">
        <v>556423020</v>
      </c>
      <c r="N13" s="8">
        <v>6.9395455655538582E-3</v>
      </c>
      <c r="O13" s="5">
        <v>2686384</v>
      </c>
      <c r="P13" s="5"/>
      <c r="Q13" s="8">
        <v>0.12310525970970643</v>
      </c>
      <c r="R13" s="2">
        <v>1.6</v>
      </c>
      <c r="S13" s="36">
        <f t="shared" si="0"/>
        <v>206692.5</v>
      </c>
      <c r="T13" s="5"/>
      <c r="U13" s="5">
        <v>65804.5</v>
      </c>
      <c r="V13" s="5">
        <v>300000</v>
      </c>
      <c r="W13" s="5"/>
      <c r="X13" s="5"/>
      <c r="Y13" s="5"/>
      <c r="Z13" s="5"/>
      <c r="AA13" s="3"/>
      <c r="AB13" s="3"/>
      <c r="AC13" s="3"/>
      <c r="AD13" s="29"/>
    </row>
    <row r="14" spans="1:30" x14ac:dyDescent="0.25">
      <c r="A14" s="47" t="s">
        <v>548</v>
      </c>
      <c r="B14" s="47" t="str">
        <f>UPPER([1]Pools!$B411)</f>
        <v>MAURITANIA NORD CROP</v>
      </c>
      <c r="C14" s="2" t="s">
        <v>31</v>
      </c>
      <c r="D14" s="22" t="s">
        <v>218</v>
      </c>
      <c r="E14" s="62" t="s">
        <v>3</v>
      </c>
      <c r="F14" s="2" t="s">
        <v>33</v>
      </c>
      <c r="G14" s="31" t="s">
        <v>34</v>
      </c>
      <c r="H14" s="2" t="s">
        <v>35</v>
      </c>
      <c r="I14" s="44" t="s">
        <v>563</v>
      </c>
      <c r="J14" s="2" t="s">
        <v>564</v>
      </c>
      <c r="K14" s="7">
        <v>400902</v>
      </c>
      <c r="L14" s="5">
        <v>9223063</v>
      </c>
      <c r="M14" s="5">
        <v>24037984</v>
      </c>
      <c r="N14" s="8">
        <v>0.12088636854695343</v>
      </c>
      <c r="O14" s="5">
        <v>1790922</v>
      </c>
      <c r="P14" s="5"/>
      <c r="Q14" s="8">
        <v>0.22385229507482737</v>
      </c>
      <c r="R14" s="2">
        <v>1.6</v>
      </c>
      <c r="S14" s="36">
        <f t="shared" si="0"/>
        <v>250563.75</v>
      </c>
      <c r="T14" s="5"/>
      <c r="U14" s="5">
        <v>65804.5</v>
      </c>
      <c r="V14" s="5">
        <v>300000</v>
      </c>
      <c r="W14" s="7"/>
      <c r="X14" s="5"/>
      <c r="Y14" s="5"/>
      <c r="Z14" s="5"/>
      <c r="AA14" s="3"/>
      <c r="AB14" s="3"/>
      <c r="AC14" s="3"/>
      <c r="AD14" s="29"/>
    </row>
    <row r="15" spans="1:30" x14ac:dyDescent="0.25">
      <c r="A15" s="47" t="s">
        <v>549</v>
      </c>
      <c r="B15" s="47" t="str">
        <f>UPPER([1]Pools!$B412)</f>
        <v>MAURITANIA SUD CROP</v>
      </c>
      <c r="C15" s="2" t="s">
        <v>31</v>
      </c>
      <c r="D15" s="22" t="s">
        <v>185</v>
      </c>
      <c r="E15" s="62" t="s">
        <v>535</v>
      </c>
      <c r="F15" s="2" t="s">
        <v>41</v>
      </c>
      <c r="G15" s="31" t="s">
        <v>34</v>
      </c>
      <c r="H15" s="2" t="s">
        <v>35</v>
      </c>
      <c r="I15" s="44" t="s">
        <v>563</v>
      </c>
      <c r="J15" s="2" t="s">
        <v>564</v>
      </c>
      <c r="K15" s="7">
        <v>1050000</v>
      </c>
      <c r="L15" s="5">
        <v>18097063</v>
      </c>
      <c r="M15" s="5">
        <v>40566400</v>
      </c>
      <c r="N15" s="8">
        <v>0.22603715454532547</v>
      </c>
      <c r="O15" s="5">
        <v>5078905</v>
      </c>
      <c r="P15" s="5"/>
      <c r="Q15" s="8">
        <v>0.20673747589293362</v>
      </c>
      <c r="R15" s="2">
        <v>1.6</v>
      </c>
      <c r="S15" s="36">
        <f t="shared" si="0"/>
        <v>656250</v>
      </c>
      <c r="T15" s="5"/>
      <c r="U15" s="5"/>
      <c r="V15" s="5"/>
      <c r="W15" s="7"/>
      <c r="X15" s="5"/>
      <c r="Y15" s="5">
        <v>1050000</v>
      </c>
      <c r="Z15" s="5"/>
      <c r="AA15" s="3"/>
      <c r="AB15" s="3"/>
      <c r="AC15" s="3"/>
      <c r="AD15" s="29"/>
    </row>
    <row r="16" spans="1:30" x14ac:dyDescent="0.25">
      <c r="A16" s="47" t="s">
        <v>550</v>
      </c>
      <c r="B16" s="47" t="str">
        <f>UPPER([1]Pools!$B413)</f>
        <v>NIGER CROP</v>
      </c>
      <c r="C16" s="2" t="s">
        <v>31</v>
      </c>
      <c r="D16" s="22" t="s">
        <v>44</v>
      </c>
      <c r="E16" s="53" t="s">
        <v>536</v>
      </c>
      <c r="F16" s="2" t="s">
        <v>41</v>
      </c>
      <c r="G16" s="31" t="s">
        <v>34</v>
      </c>
      <c r="H16" s="2" t="s">
        <v>35</v>
      </c>
      <c r="I16" s="44" t="s">
        <v>563</v>
      </c>
      <c r="J16" s="2" t="s">
        <v>564</v>
      </c>
      <c r="K16" s="7">
        <v>500000</v>
      </c>
      <c r="L16" s="5">
        <v>31126675</v>
      </c>
      <c r="M16" s="5">
        <v>61513362</v>
      </c>
      <c r="N16" s="8">
        <v>8.8703845865131664E-2</v>
      </c>
      <c r="O16" s="5">
        <v>2695416</v>
      </c>
      <c r="P16" s="5"/>
      <c r="Q16" s="8">
        <v>0.18550012317208178</v>
      </c>
      <c r="R16" s="2">
        <v>1.6</v>
      </c>
      <c r="S16" s="36">
        <f t="shared" si="0"/>
        <v>312500</v>
      </c>
      <c r="T16" s="5"/>
      <c r="U16" s="5">
        <v>500000</v>
      </c>
      <c r="V16" s="5"/>
      <c r="W16" s="5"/>
      <c r="X16" s="5"/>
      <c r="Y16" s="5"/>
      <c r="Z16" s="5"/>
      <c r="AA16" s="3"/>
      <c r="AB16" s="3"/>
      <c r="AC16" s="3"/>
      <c r="AD16" s="29"/>
    </row>
    <row r="17" spans="1:30" x14ac:dyDescent="0.25">
      <c r="A17" s="47" t="s">
        <v>551</v>
      </c>
      <c r="B17" s="47" t="str">
        <f>UPPER([1]Pools!$B414)</f>
        <v>NIGER RANGELAND</v>
      </c>
      <c r="C17" s="2" t="s">
        <v>31</v>
      </c>
      <c r="D17" s="22" t="s">
        <v>40</v>
      </c>
      <c r="E17" s="53" t="s">
        <v>534</v>
      </c>
      <c r="F17" s="2" t="s">
        <v>41</v>
      </c>
      <c r="G17" s="31" t="s">
        <v>34</v>
      </c>
      <c r="H17" s="2" t="s">
        <v>35</v>
      </c>
      <c r="I17" s="44" t="s">
        <v>563</v>
      </c>
      <c r="J17" s="2" t="s">
        <v>564</v>
      </c>
      <c r="K17" s="7">
        <v>500000</v>
      </c>
      <c r="L17" s="5">
        <v>45978150</v>
      </c>
      <c r="M17" s="5">
        <v>104949339</v>
      </c>
      <c r="N17" s="8">
        <v>5.0872299691973315E-2</v>
      </c>
      <c r="O17" s="5">
        <v>3000000</v>
      </c>
      <c r="P17" s="5"/>
      <c r="Q17" s="8">
        <v>0.16666666666666666</v>
      </c>
      <c r="R17" s="2">
        <v>1.6</v>
      </c>
      <c r="S17" s="36">
        <f t="shared" si="0"/>
        <v>312500</v>
      </c>
      <c r="T17" s="5"/>
      <c r="U17" s="5">
        <v>500000</v>
      </c>
      <c r="V17" s="5"/>
      <c r="W17" s="5"/>
      <c r="X17" s="5"/>
      <c r="Y17" s="5"/>
      <c r="Z17" s="5"/>
      <c r="AA17" s="3"/>
      <c r="AB17" s="3"/>
      <c r="AC17" s="3"/>
      <c r="AD17" s="29"/>
    </row>
    <row r="18" spans="1:30" x14ac:dyDescent="0.25">
      <c r="A18" s="47" t="s">
        <v>552</v>
      </c>
      <c r="B18" s="47" t="str">
        <f>UPPER([1]Pools!$B415)</f>
        <v>REPLICA START SENEGAL CROP</v>
      </c>
      <c r="C18" s="61" t="s">
        <v>31</v>
      </c>
      <c r="D18" s="62" t="s">
        <v>44</v>
      </c>
      <c r="E18" s="62" t="s">
        <v>534</v>
      </c>
      <c r="F18" s="31" t="s">
        <v>41</v>
      </c>
      <c r="G18" s="31" t="s">
        <v>34</v>
      </c>
      <c r="H18" s="31" t="s">
        <v>35</v>
      </c>
      <c r="I18" s="43" t="s">
        <v>563</v>
      </c>
      <c r="J18" s="31" t="s">
        <v>564</v>
      </c>
      <c r="K18" s="7">
        <v>1000000</v>
      </c>
      <c r="L18" s="5">
        <v>31126675</v>
      </c>
      <c r="M18" s="5">
        <v>61513361</v>
      </c>
      <c r="N18" s="8">
        <v>0.17740769756859961</v>
      </c>
      <c r="O18" s="5">
        <v>5390832</v>
      </c>
      <c r="P18" s="5"/>
      <c r="Q18" s="8">
        <v>0.18550012317208178</v>
      </c>
      <c r="R18" s="2">
        <v>1.6</v>
      </c>
      <c r="S18" s="36">
        <f t="shared" si="0"/>
        <v>625000</v>
      </c>
      <c r="T18" s="5"/>
      <c r="U18" s="5">
        <v>1000000</v>
      </c>
      <c r="V18" s="5"/>
      <c r="W18" s="5"/>
      <c r="X18" s="5"/>
      <c r="Y18" s="65"/>
      <c r="Z18" s="5"/>
      <c r="AA18" s="3"/>
      <c r="AB18" s="3"/>
      <c r="AC18" s="3"/>
      <c r="AD18" s="29"/>
    </row>
    <row r="19" spans="1:30" x14ac:dyDescent="0.25">
      <c r="A19" s="47" t="s">
        <v>553</v>
      </c>
      <c r="B19" s="47" t="str">
        <f>UPPER([1]Pools!$B416)</f>
        <v>REPLICA UNHCR MALI CROP</v>
      </c>
      <c r="C19" s="63" t="s">
        <v>31</v>
      </c>
      <c r="D19" s="23" t="s">
        <v>47</v>
      </c>
      <c r="E19" s="64" t="s">
        <v>534</v>
      </c>
      <c r="F19" s="2" t="s">
        <v>41</v>
      </c>
      <c r="G19" s="31" t="s">
        <v>48</v>
      </c>
      <c r="H19" s="2" t="s">
        <v>35</v>
      </c>
      <c r="I19" s="44" t="s">
        <v>563</v>
      </c>
      <c r="J19" s="2" t="s">
        <v>564</v>
      </c>
      <c r="K19" s="7">
        <v>500000</v>
      </c>
      <c r="L19" s="5">
        <v>31893000</v>
      </c>
      <c r="M19" s="5">
        <v>38422440</v>
      </c>
      <c r="N19" s="8">
        <v>0.35667070989242566</v>
      </c>
      <c r="O19" s="5">
        <v>2328860</v>
      </c>
      <c r="P19" s="5"/>
      <c r="Q19" s="8">
        <v>0.21469731971866063</v>
      </c>
      <c r="R19" s="2">
        <v>1.6</v>
      </c>
      <c r="S19" s="36">
        <f t="shared" si="0"/>
        <v>312500</v>
      </c>
      <c r="T19" s="5"/>
      <c r="U19" s="5"/>
      <c r="V19" s="5"/>
      <c r="W19" s="5"/>
      <c r="X19" s="5"/>
      <c r="Y19" s="5"/>
      <c r="Z19" s="5">
        <v>500000</v>
      </c>
      <c r="AA19" s="3"/>
      <c r="AB19" s="3"/>
      <c r="AC19" s="3"/>
      <c r="AD19" s="29"/>
    </row>
    <row r="20" spans="1:30" x14ac:dyDescent="0.25">
      <c r="A20" s="47" t="s">
        <v>554</v>
      </c>
      <c r="B20" s="47" t="str">
        <f>UPPER([1]Pools!$B417)</f>
        <v>REPLICA WFP BURKINA FASO CROP</v>
      </c>
      <c r="C20" s="2" t="s">
        <v>31</v>
      </c>
      <c r="D20" s="22" t="s">
        <v>52</v>
      </c>
      <c r="E20" s="64" t="s">
        <v>534</v>
      </c>
      <c r="F20" s="2" t="s">
        <v>41</v>
      </c>
      <c r="G20" s="31" t="s">
        <v>34</v>
      </c>
      <c r="H20" s="2" t="s">
        <v>35</v>
      </c>
      <c r="I20" s="44" t="s">
        <v>563</v>
      </c>
      <c r="J20" s="2" t="s">
        <v>564</v>
      </c>
      <c r="K20" s="7">
        <v>150000</v>
      </c>
      <c r="L20" s="5">
        <v>60775827</v>
      </c>
      <c r="M20" s="5">
        <v>154893331</v>
      </c>
      <c r="N20" s="8">
        <v>7.9316383060902256E-3</v>
      </c>
      <c r="O20" s="5">
        <v>746506</v>
      </c>
      <c r="P20" s="5"/>
      <c r="Q20" s="8">
        <v>0.20093609428457374</v>
      </c>
      <c r="R20" s="2">
        <v>1.6</v>
      </c>
      <c r="S20" s="36">
        <f t="shared" si="0"/>
        <v>93750</v>
      </c>
      <c r="T20" s="5"/>
      <c r="U20" s="5">
        <v>150000</v>
      </c>
      <c r="V20" s="5"/>
      <c r="W20" s="5"/>
      <c r="X20" s="5"/>
      <c r="Y20" s="5"/>
      <c r="Z20" s="5"/>
      <c r="AA20" s="3"/>
      <c r="AB20" s="3"/>
      <c r="AC20" s="3"/>
      <c r="AD20" s="29"/>
    </row>
    <row r="21" spans="1:30" x14ac:dyDescent="0.25">
      <c r="A21" s="47" t="s">
        <v>555</v>
      </c>
      <c r="B21" s="47" t="str">
        <f>UPPER([1]Pools!$B418)</f>
        <v>REPLICA WFP MALI CROP</v>
      </c>
      <c r="C21" s="2" t="s">
        <v>31</v>
      </c>
      <c r="D21" s="22" t="s">
        <v>55</v>
      </c>
      <c r="E21" s="64" t="s">
        <v>534</v>
      </c>
      <c r="F21" s="2" t="s">
        <v>41</v>
      </c>
      <c r="G21" s="31" t="s">
        <v>34</v>
      </c>
      <c r="H21" s="2" t="s">
        <v>35</v>
      </c>
      <c r="I21" s="44" t="s">
        <v>563</v>
      </c>
      <c r="J21" s="2" t="s">
        <v>564</v>
      </c>
      <c r="K21" s="7">
        <v>400000</v>
      </c>
      <c r="L21" s="5">
        <v>1579696</v>
      </c>
      <c r="M21" s="5">
        <v>17910805</v>
      </c>
      <c r="N21" s="8">
        <v>0.11825522688018308</v>
      </c>
      <c r="O21" s="5">
        <v>1931239</v>
      </c>
      <c r="P21" s="5"/>
      <c r="Q21" s="8">
        <v>0.20712092081818978</v>
      </c>
      <c r="R21" s="2">
        <v>1.6</v>
      </c>
      <c r="S21" s="36">
        <f t="shared" si="0"/>
        <v>250000</v>
      </c>
      <c r="T21" s="5"/>
      <c r="U21" s="5"/>
      <c r="V21" s="5"/>
      <c r="W21" s="5"/>
      <c r="X21" s="5"/>
      <c r="Y21" s="5"/>
      <c r="Z21" s="5">
        <v>400000</v>
      </c>
      <c r="AA21" s="3"/>
      <c r="AB21" s="3"/>
      <c r="AC21" s="3"/>
      <c r="AD21" s="29"/>
    </row>
    <row r="22" spans="1:30" x14ac:dyDescent="0.25">
      <c r="A22" s="47" t="s">
        <v>556</v>
      </c>
      <c r="B22" s="47" t="str">
        <f>UPPER([1]Pools!$B419)</f>
        <v>REPLICA WFP MAURITANIA RANGELAND</v>
      </c>
      <c r="C22" s="2" t="s">
        <v>31</v>
      </c>
      <c r="D22" s="22" t="s">
        <v>185</v>
      </c>
      <c r="E22" s="64" t="s">
        <v>3</v>
      </c>
      <c r="F22" s="2" t="s">
        <v>33</v>
      </c>
      <c r="G22" s="31" t="s">
        <v>34</v>
      </c>
      <c r="H22" s="2" t="s">
        <v>35</v>
      </c>
      <c r="I22" s="44" t="s">
        <v>563</v>
      </c>
      <c r="J22" s="2" t="s">
        <v>564</v>
      </c>
      <c r="K22" s="7">
        <v>2000000</v>
      </c>
      <c r="L22" s="5">
        <v>18097063</v>
      </c>
      <c r="M22" s="5">
        <v>40566400</v>
      </c>
      <c r="N22" s="8">
        <v>0.43054692713007064</v>
      </c>
      <c r="O22" s="5">
        <v>9674104</v>
      </c>
      <c r="P22" s="5"/>
      <c r="Q22" s="8">
        <v>0.20673749217498591</v>
      </c>
      <c r="R22" s="2">
        <v>1.6</v>
      </c>
      <c r="S22" s="36">
        <f t="shared" si="0"/>
        <v>1250000</v>
      </c>
      <c r="T22" s="5"/>
      <c r="U22" s="5"/>
      <c r="V22" s="5"/>
      <c r="W22" s="5"/>
      <c r="X22" s="5"/>
      <c r="Y22" s="5"/>
      <c r="Z22" s="5"/>
      <c r="AA22" s="3"/>
      <c r="AB22" s="3"/>
      <c r="AC22" s="3">
        <v>2000000</v>
      </c>
      <c r="AD22" s="29"/>
    </row>
    <row r="23" spans="1:30" x14ac:dyDescent="0.25">
      <c r="A23" s="47" t="s">
        <v>557</v>
      </c>
      <c r="B23" s="47" t="str">
        <f>UPPER([1]Pools!$B420)</f>
        <v>REPLICA WFP SUDAN CROP</v>
      </c>
      <c r="C23" s="2" t="s">
        <v>51</v>
      </c>
      <c r="D23" s="22" t="s">
        <v>73</v>
      </c>
      <c r="E23" s="64" t="s">
        <v>3</v>
      </c>
      <c r="F23" s="2" t="s">
        <v>33</v>
      </c>
      <c r="G23" s="31" t="s">
        <v>34</v>
      </c>
      <c r="H23" s="2" t="s">
        <v>35</v>
      </c>
      <c r="I23" s="44" t="s">
        <v>563</v>
      </c>
      <c r="J23" s="2" t="s">
        <v>564</v>
      </c>
      <c r="K23" s="7">
        <v>350000</v>
      </c>
      <c r="L23" s="5">
        <v>105379358</v>
      </c>
      <c r="M23" s="5">
        <v>171562206</v>
      </c>
      <c r="N23" s="8">
        <v>2.5314383569591929E-2</v>
      </c>
      <c r="O23" s="5">
        <v>1675378</v>
      </c>
      <c r="P23" s="5">
        <v>0</v>
      </c>
      <c r="Q23" s="8">
        <v>0.20890807925136895</v>
      </c>
      <c r="R23" s="2">
        <v>1.6</v>
      </c>
      <c r="S23" s="36">
        <f t="shared" si="0"/>
        <v>218750</v>
      </c>
      <c r="T23" s="5"/>
      <c r="U23" s="5"/>
      <c r="V23" s="5"/>
      <c r="W23" s="5">
        <v>350000</v>
      </c>
      <c r="X23" s="5"/>
      <c r="Y23" s="5"/>
      <c r="Z23" s="5"/>
      <c r="AA23" s="3"/>
      <c r="AB23" s="3"/>
      <c r="AC23" s="3"/>
      <c r="AD23" s="29"/>
    </row>
    <row r="24" spans="1:30" x14ac:dyDescent="0.25">
      <c r="A24" s="47" t="s">
        <v>558</v>
      </c>
      <c r="B24" s="47" t="str">
        <f>UPPER([1]Pools!$B421)</f>
        <v>REPLICA WFP THE GAMBIA</v>
      </c>
      <c r="C24" s="2" t="s">
        <v>51</v>
      </c>
      <c r="D24" s="22" t="s">
        <v>73</v>
      </c>
      <c r="E24" s="53" t="s">
        <v>3</v>
      </c>
      <c r="F24" s="2" t="s">
        <v>33</v>
      </c>
      <c r="G24" s="31" t="s">
        <v>48</v>
      </c>
      <c r="H24" s="2" t="s">
        <v>35</v>
      </c>
      <c r="I24" s="44" t="s">
        <v>563</v>
      </c>
      <c r="J24" s="2" t="s">
        <v>564</v>
      </c>
      <c r="K24" s="7">
        <v>150000</v>
      </c>
      <c r="L24" s="5">
        <v>246604871</v>
      </c>
      <c r="M24" s="5">
        <v>405066483</v>
      </c>
      <c r="N24" s="8">
        <v>2.6431953752937966E-3</v>
      </c>
      <c r="O24" s="5">
        <v>418845</v>
      </c>
      <c r="P24" s="5">
        <v>0</v>
      </c>
      <c r="Q24" s="8">
        <v>0.35812770834079433</v>
      </c>
      <c r="R24" s="2">
        <v>1.6</v>
      </c>
      <c r="S24" s="36">
        <f t="shared" si="0"/>
        <v>93750</v>
      </c>
      <c r="T24" s="5"/>
      <c r="U24" s="5"/>
      <c r="V24" s="5"/>
      <c r="W24" s="5">
        <v>150000</v>
      </c>
      <c r="X24" s="5"/>
      <c r="Y24" s="5"/>
      <c r="Z24" s="5"/>
      <c r="AA24" s="3"/>
      <c r="AB24" s="3"/>
      <c r="AC24" s="3"/>
      <c r="AD24" s="29"/>
    </row>
    <row r="25" spans="1:30" x14ac:dyDescent="0.25">
      <c r="A25" s="47" t="s">
        <v>559</v>
      </c>
      <c r="B25" s="47" t="str">
        <f>UPPER([1]Pools!$B422)</f>
        <v>SENEGAL CROP</v>
      </c>
      <c r="C25" s="2" t="s">
        <v>31</v>
      </c>
      <c r="D25" s="22" t="s">
        <v>55</v>
      </c>
      <c r="E25" s="62" t="s">
        <v>3</v>
      </c>
      <c r="F25" s="2" t="s">
        <v>33</v>
      </c>
      <c r="G25" s="31" t="s">
        <v>34</v>
      </c>
      <c r="H25" s="2" t="s">
        <v>35</v>
      </c>
      <c r="I25" s="44" t="s">
        <v>563</v>
      </c>
      <c r="J25" s="2" t="s">
        <v>564</v>
      </c>
      <c r="K25" s="7">
        <v>500000</v>
      </c>
      <c r="L25" s="5">
        <v>1579696</v>
      </c>
      <c r="M25" s="5">
        <v>17910805</v>
      </c>
      <c r="N25" s="8">
        <v>0.14781904890843603</v>
      </c>
      <c r="O25" s="5">
        <v>2414049</v>
      </c>
      <c r="P25" s="5"/>
      <c r="Q25" s="8">
        <v>0.20712089936865408</v>
      </c>
      <c r="R25" s="2">
        <v>1.6</v>
      </c>
      <c r="S25" s="36">
        <f t="shared" si="0"/>
        <v>312500</v>
      </c>
      <c r="T25" s="5"/>
      <c r="U25" s="5"/>
      <c r="V25" s="5"/>
      <c r="W25" s="5"/>
      <c r="X25" s="5"/>
      <c r="Y25" s="5"/>
      <c r="Z25" s="5"/>
      <c r="AA25" s="3"/>
      <c r="AB25" s="3"/>
      <c r="AC25" s="3">
        <v>500000</v>
      </c>
      <c r="AD25" s="29"/>
    </row>
    <row r="26" spans="1:30" x14ac:dyDescent="0.25">
      <c r="A26" s="47" t="s">
        <v>560</v>
      </c>
      <c r="B26" s="47" t="str">
        <f>UPPER([1]Pools!$B423)</f>
        <v>SOMALIA GU CROP</v>
      </c>
      <c r="C26" s="2" t="s">
        <v>31</v>
      </c>
      <c r="D26" s="22" t="s">
        <v>65</v>
      </c>
      <c r="E26" s="62" t="s">
        <v>3</v>
      </c>
      <c r="F26" s="2" t="s">
        <v>33</v>
      </c>
      <c r="G26" s="31" t="s">
        <v>34</v>
      </c>
      <c r="H26" s="2" t="s">
        <v>35</v>
      </c>
      <c r="I26" s="44" t="s">
        <v>563</v>
      </c>
      <c r="J26" s="2" t="s">
        <v>564</v>
      </c>
      <c r="K26" s="7">
        <v>650000</v>
      </c>
      <c r="L26" s="5">
        <v>8991702</v>
      </c>
      <c r="M26" s="5">
        <v>20855081</v>
      </c>
      <c r="N26" s="8">
        <v>0.26552300149898272</v>
      </c>
      <c r="O26" s="5">
        <v>3150000</v>
      </c>
      <c r="P26" s="5"/>
      <c r="Q26" s="8">
        <v>0.20634920634920634</v>
      </c>
      <c r="R26" s="2">
        <v>1.6</v>
      </c>
      <c r="S26" s="36">
        <f t="shared" si="0"/>
        <v>406250</v>
      </c>
      <c r="T26" s="5">
        <v>500000</v>
      </c>
      <c r="U26" s="5"/>
      <c r="V26" s="5"/>
      <c r="W26" s="5"/>
      <c r="X26" s="5"/>
      <c r="Y26" s="5"/>
      <c r="Z26" s="5"/>
      <c r="AA26" s="3"/>
      <c r="AB26" s="3"/>
      <c r="AC26" s="3"/>
      <c r="AD26" s="29"/>
    </row>
    <row r="27" spans="1:30" x14ac:dyDescent="0.25">
      <c r="A27" s="47" t="s">
        <v>561</v>
      </c>
      <c r="B27" s="47" t="str">
        <f>UPPER([1]Pools!$B424)</f>
        <v>SOMALIA GU RANGELAND</v>
      </c>
      <c r="C27" s="2" t="s">
        <v>31</v>
      </c>
      <c r="D27" s="22" t="s">
        <v>65</v>
      </c>
      <c r="E27" s="62" t="s">
        <v>3</v>
      </c>
      <c r="F27" s="2" t="s">
        <v>33</v>
      </c>
      <c r="G27" s="31" t="s">
        <v>34</v>
      </c>
      <c r="H27" s="2" t="s">
        <v>35</v>
      </c>
      <c r="I27" s="44" t="s">
        <v>563</v>
      </c>
      <c r="J27" s="2" t="s">
        <v>564</v>
      </c>
      <c r="K27" s="7">
        <v>350000</v>
      </c>
      <c r="L27" s="5">
        <v>10563129</v>
      </c>
      <c r="M27" s="5">
        <v>18982327</v>
      </c>
      <c r="N27" s="8">
        <v>0.14525730360540279</v>
      </c>
      <c r="O27" s="5">
        <v>1222950</v>
      </c>
      <c r="P27" s="5"/>
      <c r="Q27" s="8">
        <v>0.28619322130912955</v>
      </c>
      <c r="R27" s="2">
        <v>1.6</v>
      </c>
      <c r="S27" s="36">
        <f t="shared" si="0"/>
        <v>218750</v>
      </c>
      <c r="T27" s="5"/>
      <c r="U27" s="5"/>
      <c r="V27" s="5">
        <v>500000</v>
      </c>
      <c r="W27" s="5"/>
      <c r="X27" s="5"/>
      <c r="Y27" s="5"/>
      <c r="Z27" s="7"/>
      <c r="AA27" s="3"/>
      <c r="AB27" s="3"/>
      <c r="AC27" s="3"/>
      <c r="AD27" s="29"/>
    </row>
    <row r="28" spans="1:30" x14ac:dyDescent="0.25">
      <c r="A28" s="47" t="s">
        <v>565</v>
      </c>
      <c r="B28" s="47" t="s">
        <v>100</v>
      </c>
      <c r="C28" s="63" t="s">
        <v>51</v>
      </c>
      <c r="D28" s="23" t="s">
        <v>98</v>
      </c>
      <c r="E28" s="64" t="s">
        <v>3</v>
      </c>
      <c r="F28" s="2" t="s">
        <v>33</v>
      </c>
      <c r="G28" s="31" t="s">
        <v>34</v>
      </c>
      <c r="H28" s="2" t="s">
        <v>35</v>
      </c>
      <c r="I28" s="44" t="s">
        <v>612</v>
      </c>
      <c r="J28" s="2" t="s">
        <v>564</v>
      </c>
      <c r="K28" s="7">
        <v>500000</v>
      </c>
      <c r="L28" s="5">
        <v>33676620</v>
      </c>
      <c r="M28" s="5">
        <v>109592190</v>
      </c>
      <c r="N28" s="8">
        <v>3.2900233772861089E-2</v>
      </c>
      <c r="O28" s="5">
        <v>2497640</v>
      </c>
      <c r="P28" s="5"/>
      <c r="Q28" s="9">
        <v>0.20018897839560545</v>
      </c>
      <c r="R28" s="2">
        <v>1.6</v>
      </c>
      <c r="S28" s="36">
        <f t="shared" si="0"/>
        <v>312500</v>
      </c>
      <c r="T28" s="5">
        <v>250000</v>
      </c>
      <c r="U28" s="5"/>
      <c r="V28" s="5">
        <v>250000</v>
      </c>
      <c r="W28" s="5">
        <v>400000</v>
      </c>
      <c r="X28" s="5"/>
      <c r="Y28" s="5"/>
      <c r="Z28" s="5"/>
      <c r="AA28" s="3"/>
      <c r="AB28" s="3"/>
      <c r="AC28" s="3"/>
      <c r="AD28" s="29"/>
    </row>
    <row r="29" spans="1:30" x14ac:dyDescent="0.25">
      <c r="A29" s="47" t="s">
        <v>566</v>
      </c>
      <c r="B29" s="47" t="s">
        <v>76</v>
      </c>
      <c r="C29" s="63" t="s">
        <v>51</v>
      </c>
      <c r="D29" s="64" t="s">
        <v>73</v>
      </c>
      <c r="E29" s="64" t="s">
        <v>3</v>
      </c>
      <c r="F29" s="2" t="s">
        <v>33</v>
      </c>
      <c r="G29" s="31" t="s">
        <v>48</v>
      </c>
      <c r="H29" s="2" t="s">
        <v>35</v>
      </c>
      <c r="I29" s="44" t="s">
        <v>612</v>
      </c>
      <c r="J29" s="2" t="s">
        <v>564</v>
      </c>
      <c r="K29" s="55">
        <v>400000</v>
      </c>
      <c r="L29" s="56">
        <v>118269405</v>
      </c>
      <c r="M29" s="56">
        <v>412366455</v>
      </c>
      <c r="N29" s="57">
        <v>5.217678994059954E-3</v>
      </c>
      <c r="O29" s="56">
        <v>1534504</v>
      </c>
      <c r="P29" s="5">
        <v>464257</v>
      </c>
      <c r="Q29" s="58">
        <v>0.26067054892004193</v>
      </c>
      <c r="R29" s="54">
        <v>1.6</v>
      </c>
      <c r="S29" s="36">
        <f t="shared" si="0"/>
        <v>250000</v>
      </c>
      <c r="T29" s="56"/>
      <c r="U29" s="56"/>
      <c r="V29" s="56"/>
      <c r="W29" s="56">
        <v>1600000</v>
      </c>
      <c r="X29" s="56"/>
      <c r="Y29" s="56"/>
      <c r="Z29" s="56"/>
      <c r="AA29" s="59"/>
      <c r="AB29" s="59"/>
      <c r="AC29" s="59"/>
      <c r="AD29" s="29"/>
    </row>
    <row r="30" spans="1:30" x14ac:dyDescent="0.25">
      <c r="A30" s="47" t="s">
        <v>567</v>
      </c>
      <c r="B30" s="47" t="s">
        <v>72</v>
      </c>
      <c r="C30" s="63" t="s">
        <v>51</v>
      </c>
      <c r="D30" s="64" t="s">
        <v>73</v>
      </c>
      <c r="E30" s="64" t="s">
        <v>3</v>
      </c>
      <c r="F30" s="2" t="s">
        <v>33</v>
      </c>
      <c r="G30" s="31" t="s">
        <v>34</v>
      </c>
      <c r="H30" s="2" t="s">
        <v>35</v>
      </c>
      <c r="I30" s="44" t="s">
        <v>612</v>
      </c>
      <c r="J30" s="2" t="s">
        <v>564</v>
      </c>
      <c r="K30" s="55">
        <v>1600000</v>
      </c>
      <c r="L30" s="56">
        <v>118693485</v>
      </c>
      <c r="M30" s="56">
        <v>187454835</v>
      </c>
      <c r="N30" s="57">
        <v>8.1427473428023159E-2</v>
      </c>
      <c r="O30" s="56">
        <v>5599063</v>
      </c>
      <c r="P30" s="5">
        <v>2974997.1196658402</v>
      </c>
      <c r="Q30" s="58">
        <v>0.28576209983706202</v>
      </c>
      <c r="R30" s="54">
        <v>1.6</v>
      </c>
      <c r="S30" s="36">
        <f t="shared" si="0"/>
        <v>1000000</v>
      </c>
      <c r="T30" s="56"/>
      <c r="U30" s="56"/>
      <c r="V30" s="56"/>
      <c r="W30" s="56"/>
      <c r="X30" s="56"/>
      <c r="Y30" s="56"/>
      <c r="Z30" s="56"/>
      <c r="AA30" s="59"/>
      <c r="AB30" s="59"/>
      <c r="AC30" s="59"/>
      <c r="AD30" s="29"/>
    </row>
    <row r="31" spans="1:30" x14ac:dyDescent="0.25">
      <c r="A31" s="47" t="s">
        <v>568</v>
      </c>
      <c r="B31" s="47" t="s">
        <v>597</v>
      </c>
      <c r="C31" s="63" t="s">
        <v>51</v>
      </c>
      <c r="D31" s="64" t="s">
        <v>73</v>
      </c>
      <c r="E31" s="64" t="s">
        <v>535</v>
      </c>
      <c r="F31" s="54" t="s">
        <v>41</v>
      </c>
      <c r="G31" s="31" t="s">
        <v>48</v>
      </c>
      <c r="H31" s="2" t="s">
        <v>35</v>
      </c>
      <c r="I31" s="44" t="s">
        <v>612</v>
      </c>
      <c r="J31" s="2" t="s">
        <v>564</v>
      </c>
      <c r="K31" s="55">
        <v>150000</v>
      </c>
      <c r="L31" s="56">
        <v>148720815</v>
      </c>
      <c r="M31" s="56">
        <v>412366455</v>
      </c>
      <c r="N31" s="57">
        <v>2.4229947440056283E-3</v>
      </c>
      <c r="O31" s="56">
        <v>638812</v>
      </c>
      <c r="P31" s="5">
        <v>141808.97786096501</v>
      </c>
      <c r="Q31" s="58">
        <v>0.23481086767311823</v>
      </c>
      <c r="R31" s="54">
        <v>1.6</v>
      </c>
      <c r="S31" s="36">
        <f t="shared" si="0"/>
        <v>93750</v>
      </c>
      <c r="T31" s="56"/>
      <c r="U31" s="56"/>
      <c r="V31" s="56"/>
      <c r="W31" s="56"/>
      <c r="X31" s="56"/>
      <c r="Y31" s="56">
        <v>150000</v>
      </c>
      <c r="Z31" s="56"/>
      <c r="AA31" s="59"/>
      <c r="AB31" s="59"/>
      <c r="AC31" s="59"/>
      <c r="AD31" s="29"/>
    </row>
    <row r="32" spans="1:30" x14ac:dyDescent="0.25">
      <c r="A32" s="47" t="s">
        <v>569</v>
      </c>
      <c r="B32" s="47" t="s">
        <v>598</v>
      </c>
      <c r="C32" s="63" t="s">
        <v>51</v>
      </c>
      <c r="D32" s="64" t="s">
        <v>73</v>
      </c>
      <c r="E32" s="64" t="s">
        <v>535</v>
      </c>
      <c r="F32" s="54" t="s">
        <v>41</v>
      </c>
      <c r="G32" s="31" t="s">
        <v>34</v>
      </c>
      <c r="H32" s="2" t="s">
        <v>35</v>
      </c>
      <c r="I32" s="44" t="s">
        <v>612</v>
      </c>
      <c r="J32" s="2" t="s">
        <v>564</v>
      </c>
      <c r="K32" s="55">
        <v>600000</v>
      </c>
      <c r="L32" s="56">
        <v>134303508</v>
      </c>
      <c r="M32" s="56">
        <v>187454835</v>
      </c>
      <c r="N32" s="57">
        <v>4.9623144874633138E-2</v>
      </c>
      <c r="O32" s="56">
        <v>2637536</v>
      </c>
      <c r="P32" s="5">
        <v>1038390.20978332</v>
      </c>
      <c r="Q32" s="58">
        <v>0.22748504664960023</v>
      </c>
      <c r="R32" s="54">
        <v>1.6</v>
      </c>
      <c r="S32" s="36">
        <f t="shared" si="0"/>
        <v>375000</v>
      </c>
      <c r="T32" s="56"/>
      <c r="U32" s="56"/>
      <c r="V32" s="56"/>
      <c r="W32" s="56"/>
      <c r="X32" s="56"/>
      <c r="Y32" s="56">
        <v>600000</v>
      </c>
      <c r="Z32" s="56"/>
      <c r="AA32" s="59"/>
      <c r="AB32" s="59"/>
      <c r="AC32" s="59"/>
      <c r="AD32" s="29"/>
    </row>
    <row r="33" spans="1:30" x14ac:dyDescent="0.25">
      <c r="A33" s="47" t="s">
        <v>570</v>
      </c>
      <c r="B33" s="47" t="s">
        <v>599</v>
      </c>
      <c r="C33" s="63" t="s">
        <v>51</v>
      </c>
      <c r="D33" s="64" t="s">
        <v>73</v>
      </c>
      <c r="E33" s="64" t="s">
        <v>534</v>
      </c>
      <c r="F33" s="54" t="s">
        <v>41</v>
      </c>
      <c r="G33" s="31" t="s">
        <v>34</v>
      </c>
      <c r="H33" s="2" t="s">
        <v>35</v>
      </c>
      <c r="I33" s="44" t="s">
        <v>612</v>
      </c>
      <c r="J33" s="2" t="s">
        <v>564</v>
      </c>
      <c r="K33" s="55">
        <v>500000</v>
      </c>
      <c r="L33" s="56">
        <v>134303508</v>
      </c>
      <c r="M33" s="56">
        <v>187454835</v>
      </c>
      <c r="N33" s="57">
        <v>4.1352627000262855E-2</v>
      </c>
      <c r="O33" s="56">
        <v>2197947</v>
      </c>
      <c r="P33" s="5">
        <v>865325.30605179397</v>
      </c>
      <c r="Q33" s="58">
        <v>0.22748501214997449</v>
      </c>
      <c r="R33" s="54">
        <v>1.6</v>
      </c>
      <c r="S33" s="36">
        <f t="shared" si="0"/>
        <v>312500</v>
      </c>
      <c r="T33" s="56"/>
      <c r="U33" s="56"/>
      <c r="V33" s="56"/>
      <c r="W33" s="56"/>
      <c r="X33" s="56"/>
      <c r="Y33" s="56"/>
      <c r="Z33" s="56">
        <v>500000</v>
      </c>
      <c r="AA33" s="59"/>
      <c r="AB33" s="59"/>
      <c r="AC33" s="59"/>
      <c r="AD33" s="29"/>
    </row>
    <row r="34" spans="1:30" x14ac:dyDescent="0.25">
      <c r="A34" s="47" t="s">
        <v>571</v>
      </c>
      <c r="B34" s="47" t="s">
        <v>130</v>
      </c>
      <c r="C34" s="63" t="s">
        <v>51</v>
      </c>
      <c r="D34" s="64" t="s">
        <v>131</v>
      </c>
      <c r="E34" s="64" t="s">
        <v>3</v>
      </c>
      <c r="F34" s="2" t="s">
        <v>33</v>
      </c>
      <c r="G34" s="2" t="s">
        <v>616</v>
      </c>
      <c r="H34" s="54" t="s">
        <v>103</v>
      </c>
      <c r="I34" s="44" t="s">
        <v>612</v>
      </c>
      <c r="J34" s="2" t="s">
        <v>564</v>
      </c>
      <c r="K34" s="55">
        <v>500000</v>
      </c>
      <c r="L34" s="56">
        <v>15024468</v>
      </c>
      <c r="M34" s="56">
        <v>22870964</v>
      </c>
      <c r="N34" s="57">
        <v>0.69999997451091545</v>
      </c>
      <c r="O34" s="56">
        <v>5492547</v>
      </c>
      <c r="P34" s="5"/>
      <c r="Q34" s="58">
        <f>K34/O34</f>
        <v>9.1032448152013987E-2</v>
      </c>
      <c r="R34" s="54">
        <v>1.65</v>
      </c>
      <c r="S34" s="36">
        <f t="shared" si="0"/>
        <v>303030.30303030304</v>
      </c>
      <c r="T34" s="56"/>
      <c r="U34" s="56"/>
      <c r="V34" s="56"/>
      <c r="W34" s="56">
        <v>500000</v>
      </c>
      <c r="X34" s="56"/>
      <c r="Y34" s="56"/>
      <c r="Z34" s="56"/>
      <c r="AA34" s="59"/>
      <c r="AB34" s="59"/>
      <c r="AC34" s="59"/>
      <c r="AD34" s="29"/>
    </row>
    <row r="35" spans="1:30" x14ac:dyDescent="0.25">
      <c r="A35" s="47" t="s">
        <v>617</v>
      </c>
      <c r="B35" s="47"/>
      <c r="C35" s="63" t="s">
        <v>51</v>
      </c>
      <c r="D35" s="64" t="s">
        <v>98</v>
      </c>
      <c r="E35" s="64" t="s">
        <v>3</v>
      </c>
      <c r="F35" s="2" t="s">
        <v>33</v>
      </c>
      <c r="G35" s="54" t="s">
        <v>618</v>
      </c>
      <c r="H35" s="54" t="s">
        <v>619</v>
      </c>
      <c r="I35" s="74" t="s">
        <v>612</v>
      </c>
      <c r="J35" s="2" t="s">
        <v>564</v>
      </c>
      <c r="K35" s="55">
        <v>1000000</v>
      </c>
      <c r="L35" s="56">
        <v>70768195</v>
      </c>
      <c r="M35" s="56">
        <v>123012850</v>
      </c>
      <c r="N35" s="57">
        <f t="shared" ref="N35" si="1">O35/(M35-L35)</f>
        <v>0.14546942648965716</v>
      </c>
      <c r="O35" s="56">
        <v>7600000</v>
      </c>
      <c r="P35" s="75">
        <v>0</v>
      </c>
      <c r="Q35" s="58">
        <f>K35/O35</f>
        <v>0.13157894736842105</v>
      </c>
      <c r="R35" s="54">
        <v>1.65</v>
      </c>
      <c r="S35" s="36">
        <f t="shared" si="0"/>
        <v>606060.60606060608</v>
      </c>
      <c r="T35" s="56"/>
      <c r="U35" s="56"/>
      <c r="V35" s="56"/>
      <c r="W35" s="56"/>
      <c r="X35" s="56"/>
      <c r="Y35" s="56"/>
      <c r="Z35" s="56"/>
      <c r="AA35" s="59"/>
      <c r="AB35" s="59"/>
      <c r="AC35" s="59"/>
      <c r="AD35" s="29"/>
    </row>
    <row r="36" spans="1:30" x14ac:dyDescent="0.25">
      <c r="A36" s="47" t="s">
        <v>572</v>
      </c>
      <c r="B36" s="47" t="s">
        <v>98</v>
      </c>
      <c r="C36" s="63" t="s">
        <v>51</v>
      </c>
      <c r="D36" s="64" t="s">
        <v>98</v>
      </c>
      <c r="E36" s="64" t="s">
        <v>3</v>
      </c>
      <c r="F36" s="2" t="s">
        <v>33</v>
      </c>
      <c r="G36" s="2" t="s">
        <v>616</v>
      </c>
      <c r="H36" s="54" t="s">
        <v>103</v>
      </c>
      <c r="I36" s="44" t="s">
        <v>612</v>
      </c>
      <c r="J36" s="2" t="s">
        <v>564</v>
      </c>
      <c r="K36" s="55">
        <v>1800000</v>
      </c>
      <c r="L36" s="56">
        <v>189499656</v>
      </c>
      <c r="M36" s="56">
        <v>3549195735</v>
      </c>
      <c r="N36" s="57">
        <v>2.6788137344491035E-3</v>
      </c>
      <c r="O36" s="56">
        <v>9000000</v>
      </c>
      <c r="P36" s="5">
        <v>5641984.2486591777</v>
      </c>
      <c r="Q36" s="58">
        <v>0.2</v>
      </c>
      <c r="R36" s="54">
        <v>1.65</v>
      </c>
      <c r="S36" s="36">
        <f t="shared" si="0"/>
        <v>1090909.0909090911</v>
      </c>
      <c r="T36" s="56"/>
      <c r="U36" s="56"/>
      <c r="V36" s="56"/>
      <c r="W36" s="56">
        <v>1800000</v>
      </c>
      <c r="X36" s="56"/>
      <c r="Y36" s="56"/>
      <c r="Z36" s="56"/>
      <c r="AA36" s="59"/>
      <c r="AB36" s="59"/>
      <c r="AC36" s="59"/>
      <c r="AD36" s="29"/>
    </row>
    <row r="37" spans="1:30" x14ac:dyDescent="0.25">
      <c r="A37" s="47" t="s">
        <v>573</v>
      </c>
      <c r="B37" s="47" t="s">
        <v>600</v>
      </c>
      <c r="C37" s="63" t="s">
        <v>51</v>
      </c>
      <c r="D37" s="64" t="s">
        <v>98</v>
      </c>
      <c r="E37" s="64" t="s">
        <v>535</v>
      </c>
      <c r="F37" s="54" t="s">
        <v>41</v>
      </c>
      <c r="G37" s="2" t="s">
        <v>616</v>
      </c>
      <c r="H37" s="54" t="s">
        <v>103</v>
      </c>
      <c r="I37" s="44" t="s">
        <v>612</v>
      </c>
      <c r="J37" s="2" t="s">
        <v>564</v>
      </c>
      <c r="K37" s="55">
        <v>500000</v>
      </c>
      <c r="L37" s="56">
        <v>189499656</v>
      </c>
      <c r="M37" s="56">
        <v>2647864330</v>
      </c>
      <c r="N37" s="57">
        <v>1.4237106630340393E-3</v>
      </c>
      <c r="O37" s="56">
        <v>3500000</v>
      </c>
      <c r="P37" s="5">
        <v>2998548.5859613358</v>
      </c>
      <c r="Q37" s="58">
        <v>0.14285714285714285</v>
      </c>
      <c r="R37" s="54">
        <v>1.65</v>
      </c>
      <c r="S37" s="56">
        <v>303030.30303030304</v>
      </c>
      <c r="T37" s="56"/>
      <c r="U37" s="56"/>
      <c r="V37" s="56"/>
      <c r="W37" s="56"/>
      <c r="X37" s="56"/>
      <c r="Y37" s="56">
        <v>500000</v>
      </c>
      <c r="Z37" s="56"/>
      <c r="AA37" s="59"/>
      <c r="AB37" s="59"/>
      <c r="AC37" s="59"/>
      <c r="AD37" s="29"/>
    </row>
    <row r="38" spans="1:30" x14ac:dyDescent="0.25">
      <c r="A38" s="47" t="s">
        <v>574</v>
      </c>
      <c r="B38" s="47" t="s">
        <v>601</v>
      </c>
      <c r="C38" s="63" t="s">
        <v>51</v>
      </c>
      <c r="D38" s="64" t="s">
        <v>98</v>
      </c>
      <c r="E38" s="64" t="s">
        <v>534</v>
      </c>
      <c r="F38" s="54" t="s">
        <v>41</v>
      </c>
      <c r="G38" s="2" t="s">
        <v>616</v>
      </c>
      <c r="H38" s="54" t="s">
        <v>103</v>
      </c>
      <c r="I38" s="44" t="s">
        <v>612</v>
      </c>
      <c r="J38" s="2" t="s">
        <v>564</v>
      </c>
      <c r="K38" s="55">
        <v>250000</v>
      </c>
      <c r="L38" s="56">
        <v>282296200</v>
      </c>
      <c r="M38" s="56">
        <v>6308379185</v>
      </c>
      <c r="N38" s="57">
        <v>4.1486318828050459E-4</v>
      </c>
      <c r="O38" s="56">
        <v>2500000</v>
      </c>
      <c r="P38" s="5">
        <v>796768.47248063586</v>
      </c>
      <c r="Q38" s="58">
        <v>0.1</v>
      </c>
      <c r="R38" s="54">
        <v>1.65</v>
      </c>
      <c r="S38" s="56">
        <v>151515.15151515152</v>
      </c>
      <c r="T38" s="56"/>
      <c r="U38" s="56"/>
      <c r="V38" s="56"/>
      <c r="W38" s="56"/>
      <c r="X38" s="56"/>
      <c r="Y38" s="56"/>
      <c r="Z38" s="56">
        <v>250000</v>
      </c>
      <c r="AA38" s="59"/>
      <c r="AB38" s="59"/>
      <c r="AC38" s="59"/>
      <c r="AD38" s="29"/>
    </row>
    <row r="39" spans="1:30" x14ac:dyDescent="0.25">
      <c r="A39" s="47" t="s">
        <v>575</v>
      </c>
      <c r="B39" s="47" t="s">
        <v>602</v>
      </c>
      <c r="C39" s="63" t="s">
        <v>51</v>
      </c>
      <c r="D39" s="64" t="s">
        <v>113</v>
      </c>
      <c r="E39" s="64" t="s">
        <v>534</v>
      </c>
      <c r="F39" s="54" t="s">
        <v>41</v>
      </c>
      <c r="G39" s="2" t="s">
        <v>616</v>
      </c>
      <c r="H39" s="54" t="s">
        <v>103</v>
      </c>
      <c r="I39" s="44" t="s">
        <v>612</v>
      </c>
      <c r="J39" s="2" t="s">
        <v>564</v>
      </c>
      <c r="K39" s="55">
        <v>376000</v>
      </c>
      <c r="L39" s="56">
        <v>274280408</v>
      </c>
      <c r="M39" s="56">
        <v>554906120</v>
      </c>
      <c r="N39" s="57">
        <v>1.0525240110571195E-2</v>
      </c>
      <c r="O39" s="56">
        <v>2953653</v>
      </c>
      <c r="P39" s="5"/>
      <c r="Q39" s="58">
        <v>0.12729999089263364</v>
      </c>
      <c r="R39" s="54">
        <v>1.65</v>
      </c>
      <c r="S39" s="56">
        <v>227878.7878787879</v>
      </c>
      <c r="T39" s="56"/>
      <c r="U39" s="56"/>
      <c r="V39" s="56"/>
      <c r="W39" s="56"/>
      <c r="X39" s="56"/>
      <c r="Y39" s="56"/>
      <c r="Z39" s="56">
        <v>376000</v>
      </c>
      <c r="AA39" s="59"/>
      <c r="AB39" s="59"/>
      <c r="AC39" s="59"/>
      <c r="AD39" s="29"/>
    </row>
    <row r="40" spans="1:30" x14ac:dyDescent="0.25">
      <c r="A40" s="47" t="s">
        <v>576</v>
      </c>
      <c r="B40" s="47" t="s">
        <v>602</v>
      </c>
      <c r="C40" s="63" t="s">
        <v>51</v>
      </c>
      <c r="D40" s="64" t="s">
        <v>113</v>
      </c>
      <c r="E40" s="64" t="s">
        <v>534</v>
      </c>
      <c r="F40" s="54" t="s">
        <v>41</v>
      </c>
      <c r="G40" s="31" t="s">
        <v>34</v>
      </c>
      <c r="H40" s="2" t="s">
        <v>35</v>
      </c>
      <c r="I40" s="44" t="s">
        <v>612</v>
      </c>
      <c r="J40" s="2" t="s">
        <v>564</v>
      </c>
      <c r="K40" s="55">
        <v>250000</v>
      </c>
      <c r="L40" s="56">
        <v>15202530</v>
      </c>
      <c r="M40" s="56">
        <v>20026304</v>
      </c>
      <c r="N40" s="57">
        <v>0.21139132969330654</v>
      </c>
      <c r="O40" s="56">
        <v>1019704</v>
      </c>
      <c r="P40" s="5"/>
      <c r="Q40" s="58">
        <v>0.24516918635211787</v>
      </c>
      <c r="R40" s="54">
        <v>1.6</v>
      </c>
      <c r="S40" s="56">
        <v>156250</v>
      </c>
      <c r="T40" s="56"/>
      <c r="U40" s="56"/>
      <c r="V40" s="56"/>
      <c r="W40" s="56"/>
      <c r="X40" s="56"/>
      <c r="Y40" s="56"/>
      <c r="Z40" s="56">
        <v>250000</v>
      </c>
      <c r="AA40" s="59"/>
      <c r="AB40" s="59"/>
      <c r="AC40" s="59"/>
      <c r="AD40" s="29"/>
    </row>
    <row r="41" spans="1:30" x14ac:dyDescent="0.25">
      <c r="A41" s="47" t="s">
        <v>577</v>
      </c>
      <c r="B41" s="47" t="s">
        <v>601</v>
      </c>
      <c r="C41" s="63" t="s">
        <v>51</v>
      </c>
      <c r="D41" s="64" t="s">
        <v>98</v>
      </c>
      <c r="E41" s="64" t="s">
        <v>534</v>
      </c>
      <c r="F41" s="54" t="s">
        <v>41</v>
      </c>
      <c r="G41" s="31" t="s">
        <v>34</v>
      </c>
      <c r="H41" s="2" t="s">
        <v>35</v>
      </c>
      <c r="I41" s="44" t="s">
        <v>612</v>
      </c>
      <c r="J41" s="2" t="s">
        <v>564</v>
      </c>
      <c r="K41" s="55">
        <v>250000</v>
      </c>
      <c r="L41" s="56">
        <v>49841070</v>
      </c>
      <c r="M41" s="56">
        <v>109592191</v>
      </c>
      <c r="N41" s="57">
        <v>2.7586143530261131E-2</v>
      </c>
      <c r="O41" s="56">
        <v>1648303</v>
      </c>
      <c r="P41" s="5"/>
      <c r="Q41" s="58">
        <v>0.15167114298766671</v>
      </c>
      <c r="R41" s="54">
        <v>1.6</v>
      </c>
      <c r="S41" s="56">
        <v>156250</v>
      </c>
      <c r="T41" s="56"/>
      <c r="U41" s="56"/>
      <c r="V41" s="56"/>
      <c r="W41" s="56"/>
      <c r="X41" s="56"/>
      <c r="Y41" s="56"/>
      <c r="Z41" s="56">
        <v>250000</v>
      </c>
      <c r="AA41" s="59"/>
      <c r="AB41" s="59"/>
      <c r="AC41" s="59"/>
      <c r="AD41" s="29"/>
    </row>
    <row r="42" spans="1:30" x14ac:dyDescent="0.25">
      <c r="A42" s="47" t="s">
        <v>578</v>
      </c>
      <c r="B42" s="47" t="s">
        <v>603</v>
      </c>
      <c r="C42" s="63" t="s">
        <v>51</v>
      </c>
      <c r="D42" s="64" t="s">
        <v>126</v>
      </c>
      <c r="E42" s="64" t="s">
        <v>534</v>
      </c>
      <c r="F42" s="54" t="s">
        <v>41</v>
      </c>
      <c r="G42" s="31" t="s">
        <v>34</v>
      </c>
      <c r="H42" s="2" t="s">
        <v>35</v>
      </c>
      <c r="I42" s="44" t="s">
        <v>612</v>
      </c>
      <c r="J42" s="2" t="s">
        <v>564</v>
      </c>
      <c r="K42" s="55">
        <v>250000</v>
      </c>
      <c r="L42" s="56">
        <v>51441472</v>
      </c>
      <c r="M42" s="56">
        <v>160551400</v>
      </c>
      <c r="N42" s="57">
        <v>1.9750420878290747E-2</v>
      </c>
      <c r="O42" s="56">
        <v>2154967</v>
      </c>
      <c r="P42" s="56"/>
      <c r="Q42" s="58">
        <v>0.11601105724588821</v>
      </c>
      <c r="R42" s="54">
        <v>1.6</v>
      </c>
      <c r="S42" s="56">
        <v>156250</v>
      </c>
      <c r="T42" s="56"/>
      <c r="U42" s="56"/>
      <c r="V42" s="56"/>
      <c r="W42" s="56"/>
      <c r="X42" s="56"/>
      <c r="Y42" s="56"/>
      <c r="Z42" s="56">
        <v>250000</v>
      </c>
      <c r="AA42" s="59"/>
      <c r="AB42" s="59"/>
      <c r="AC42" s="59"/>
      <c r="AD42" s="29"/>
    </row>
    <row r="43" spans="1:30" x14ac:dyDescent="0.25">
      <c r="A43" s="47" t="s">
        <v>579</v>
      </c>
      <c r="B43" s="47" t="s">
        <v>235</v>
      </c>
      <c r="C43" s="63" t="s">
        <v>51</v>
      </c>
      <c r="D43" s="64" t="s">
        <v>110</v>
      </c>
      <c r="E43" s="64" t="s">
        <v>3</v>
      </c>
      <c r="F43" s="2" t="s">
        <v>33</v>
      </c>
      <c r="G43" s="31" t="s">
        <v>34</v>
      </c>
      <c r="H43" s="2" t="s">
        <v>35</v>
      </c>
      <c r="I43" s="44" t="s">
        <v>612</v>
      </c>
      <c r="J43" s="2" t="s">
        <v>564</v>
      </c>
      <c r="K43" s="55">
        <v>450000</v>
      </c>
      <c r="L43" s="56">
        <v>67270140</v>
      </c>
      <c r="M43" s="56">
        <v>159946836</v>
      </c>
      <c r="N43" s="57">
        <v>1.7656164609062025E-2</v>
      </c>
      <c r="O43" s="56">
        <v>1636315</v>
      </c>
      <c r="P43" s="56"/>
      <c r="Q43" s="58">
        <v>0.27500817385405624</v>
      </c>
      <c r="R43" s="54">
        <v>1.6</v>
      </c>
      <c r="S43" s="56">
        <v>281250</v>
      </c>
      <c r="T43" s="56"/>
      <c r="U43" s="56"/>
      <c r="V43" s="56"/>
      <c r="W43" s="56">
        <v>450000</v>
      </c>
      <c r="X43" s="56"/>
      <c r="Y43" s="56"/>
      <c r="Z43" s="56"/>
      <c r="AA43" s="59"/>
      <c r="AB43" s="59"/>
      <c r="AC43" s="59"/>
      <c r="AD43" s="29"/>
    </row>
    <row r="44" spans="1:30" x14ac:dyDescent="0.25">
      <c r="A44" s="47" t="s">
        <v>580</v>
      </c>
      <c r="B44" s="47" t="s">
        <v>604</v>
      </c>
      <c r="C44" s="63" t="s">
        <v>51</v>
      </c>
      <c r="D44" s="64" t="s">
        <v>110</v>
      </c>
      <c r="E44" s="64" t="s">
        <v>3</v>
      </c>
      <c r="F44" s="2" t="s">
        <v>33</v>
      </c>
      <c r="G44" s="31" t="s">
        <v>34</v>
      </c>
      <c r="H44" s="2" t="s">
        <v>35</v>
      </c>
      <c r="I44" s="44" t="s">
        <v>612</v>
      </c>
      <c r="J44" s="2" t="s">
        <v>564</v>
      </c>
      <c r="K44" s="55">
        <v>1200000</v>
      </c>
      <c r="L44" s="56">
        <v>13006613</v>
      </c>
      <c r="M44" s="56">
        <v>19694850</v>
      </c>
      <c r="N44" s="57">
        <v>0.45327341121434545</v>
      </c>
      <c r="O44" s="56">
        <v>3031600</v>
      </c>
      <c r="P44" s="56"/>
      <c r="Q44" s="58">
        <v>0.39583058450982977</v>
      </c>
      <c r="R44" s="54">
        <v>1.6</v>
      </c>
      <c r="S44" s="56">
        <v>750000</v>
      </c>
      <c r="T44" s="56"/>
      <c r="U44" s="56"/>
      <c r="V44" s="56">
        <v>1000000</v>
      </c>
      <c r="W44" s="56">
        <v>200000</v>
      </c>
      <c r="X44" s="56"/>
      <c r="Y44" s="56"/>
      <c r="Z44" s="56"/>
      <c r="AA44" s="59"/>
      <c r="AB44" s="59"/>
      <c r="AC44" s="59"/>
      <c r="AD44" s="29"/>
    </row>
    <row r="45" spans="1:30" x14ac:dyDescent="0.25">
      <c r="A45" s="47" t="s">
        <v>581</v>
      </c>
      <c r="B45" s="47" t="s">
        <v>233</v>
      </c>
      <c r="C45" s="63" t="s">
        <v>51</v>
      </c>
      <c r="D45" s="64" t="s">
        <v>110</v>
      </c>
      <c r="E45" s="64" t="s">
        <v>3</v>
      </c>
      <c r="F45" s="2" t="s">
        <v>33</v>
      </c>
      <c r="G45" s="31" t="s">
        <v>34</v>
      </c>
      <c r="H45" s="2" t="s">
        <v>35</v>
      </c>
      <c r="I45" s="44" t="s">
        <v>612</v>
      </c>
      <c r="J45" s="2" t="s">
        <v>564</v>
      </c>
      <c r="K45" s="55">
        <v>450000</v>
      </c>
      <c r="L45" s="56">
        <v>2064783</v>
      </c>
      <c r="M45" s="56">
        <v>14215026</v>
      </c>
      <c r="N45" s="57">
        <v>0.13935696594710081</v>
      </c>
      <c r="O45" s="56">
        <v>1693221</v>
      </c>
      <c r="P45" s="56"/>
      <c r="Q45" s="58">
        <v>0.26576566201340523</v>
      </c>
      <c r="R45" s="54">
        <v>1.6</v>
      </c>
      <c r="S45" s="56">
        <v>281250</v>
      </c>
      <c r="T45" s="56"/>
      <c r="U45" s="56"/>
      <c r="V45" s="56"/>
      <c r="W45" s="56">
        <v>450000</v>
      </c>
      <c r="X45" s="56"/>
      <c r="Y45" s="56"/>
      <c r="Z45" s="56"/>
      <c r="AA45" s="59"/>
      <c r="AB45" s="59"/>
      <c r="AC45" s="59"/>
      <c r="AD45" s="29"/>
    </row>
    <row r="46" spans="1:30" x14ac:dyDescent="0.25">
      <c r="A46" s="47" t="s">
        <v>582</v>
      </c>
      <c r="B46" s="47" t="s">
        <v>237</v>
      </c>
      <c r="C46" s="63" t="s">
        <v>51</v>
      </c>
      <c r="D46" s="64" t="s">
        <v>110</v>
      </c>
      <c r="E46" s="64" t="s">
        <v>3</v>
      </c>
      <c r="F46" s="2" t="s">
        <v>33</v>
      </c>
      <c r="G46" s="31" t="s">
        <v>34</v>
      </c>
      <c r="H46" s="2" t="s">
        <v>35</v>
      </c>
      <c r="I46" s="44" t="s">
        <v>612</v>
      </c>
      <c r="J46" s="2" t="s">
        <v>564</v>
      </c>
      <c r="K46" s="55">
        <v>900000</v>
      </c>
      <c r="L46" s="56">
        <v>62274062</v>
      </c>
      <c r="M46" s="56">
        <v>129679746</v>
      </c>
      <c r="N46" s="57">
        <v>4.0622894650842796E-2</v>
      </c>
      <c r="O46" s="56">
        <v>2738214</v>
      </c>
      <c r="P46" s="56"/>
      <c r="Q46" s="58">
        <v>0.32868139597562501</v>
      </c>
      <c r="R46" s="54">
        <v>1.6</v>
      </c>
      <c r="S46" s="56">
        <v>562500</v>
      </c>
      <c r="T46" s="56"/>
      <c r="U46" s="56"/>
      <c r="V46" s="56"/>
      <c r="W46" s="56">
        <v>900000</v>
      </c>
      <c r="X46" s="56"/>
      <c r="Y46" s="56"/>
      <c r="Z46" s="56"/>
      <c r="AA46" s="59"/>
      <c r="AB46" s="59"/>
      <c r="AC46" s="59"/>
      <c r="AD46" s="29"/>
    </row>
    <row r="47" spans="1:30" x14ac:dyDescent="0.25">
      <c r="A47" s="47" t="s">
        <v>583</v>
      </c>
      <c r="B47" s="47" t="s">
        <v>605</v>
      </c>
      <c r="C47" s="63" t="s">
        <v>51</v>
      </c>
      <c r="D47" s="64" t="s">
        <v>85</v>
      </c>
      <c r="E47" s="64" t="s">
        <v>3</v>
      </c>
      <c r="F47" s="2" t="s">
        <v>33</v>
      </c>
      <c r="G47" s="31" t="s">
        <v>34</v>
      </c>
      <c r="H47" s="2" t="s">
        <v>35</v>
      </c>
      <c r="I47" s="44" t="s">
        <v>612</v>
      </c>
      <c r="J47" s="2" t="s">
        <v>564</v>
      </c>
      <c r="K47" s="55">
        <v>700000</v>
      </c>
      <c r="L47" s="56">
        <v>27877880</v>
      </c>
      <c r="M47" s="56">
        <v>60965360</v>
      </c>
      <c r="N47" s="57">
        <v>0.1043651858648649</v>
      </c>
      <c r="O47" s="56">
        <v>3453181</v>
      </c>
      <c r="P47" s="56"/>
      <c r="Q47" s="58">
        <v>0.20271164471251291</v>
      </c>
      <c r="R47" s="54">
        <v>1.6</v>
      </c>
      <c r="S47" s="56">
        <v>437500</v>
      </c>
      <c r="T47" s="56">
        <v>600000</v>
      </c>
      <c r="U47" s="56"/>
      <c r="V47" s="56"/>
      <c r="W47" s="56">
        <v>100000</v>
      </c>
      <c r="X47" s="56"/>
      <c r="Y47" s="56"/>
      <c r="Z47" s="56"/>
      <c r="AA47" s="59"/>
      <c r="AB47" s="59"/>
      <c r="AC47" s="59"/>
      <c r="AD47" s="29"/>
    </row>
    <row r="48" spans="1:30" x14ac:dyDescent="0.25">
      <c r="A48" s="47" t="s">
        <v>584</v>
      </c>
      <c r="B48" s="47" t="s">
        <v>606</v>
      </c>
      <c r="C48" s="63" t="s">
        <v>51</v>
      </c>
      <c r="D48" s="64" t="s">
        <v>85</v>
      </c>
      <c r="E48" s="64" t="s">
        <v>3</v>
      </c>
      <c r="F48" s="2" t="s">
        <v>33</v>
      </c>
      <c r="G48" s="31" t="s">
        <v>34</v>
      </c>
      <c r="H48" s="2" t="s">
        <v>35</v>
      </c>
      <c r="I48" s="44" t="s">
        <v>612</v>
      </c>
      <c r="J48" s="2" t="s">
        <v>564</v>
      </c>
      <c r="K48" s="55">
        <v>560000</v>
      </c>
      <c r="L48" s="56">
        <v>26506888</v>
      </c>
      <c r="M48" s="56">
        <v>40719480</v>
      </c>
      <c r="N48" s="57">
        <v>0.20810489740365445</v>
      </c>
      <c r="O48" s="56">
        <v>2957710</v>
      </c>
      <c r="P48" s="56"/>
      <c r="Q48" s="58">
        <v>0.18933566847324451</v>
      </c>
      <c r="R48" s="54">
        <v>1.6</v>
      </c>
      <c r="S48" s="56">
        <v>350000</v>
      </c>
      <c r="T48" s="56"/>
      <c r="U48" s="56"/>
      <c r="V48" s="56"/>
      <c r="W48" s="56">
        <v>580000</v>
      </c>
      <c r="X48" s="56"/>
      <c r="Y48" s="56"/>
      <c r="Z48" s="56"/>
      <c r="AA48" s="59"/>
      <c r="AB48" s="59"/>
      <c r="AC48" s="59"/>
      <c r="AD48" s="29"/>
    </row>
    <row r="49" spans="1:50" x14ac:dyDescent="0.25">
      <c r="A49" s="47" t="s">
        <v>585</v>
      </c>
      <c r="B49" s="47" t="s">
        <v>607</v>
      </c>
      <c r="C49" s="63" t="s">
        <v>51</v>
      </c>
      <c r="D49" s="64" t="s">
        <v>85</v>
      </c>
      <c r="E49" s="64" t="s">
        <v>3</v>
      </c>
      <c r="F49" s="2" t="s">
        <v>33</v>
      </c>
      <c r="G49" s="31" t="s">
        <v>34</v>
      </c>
      <c r="H49" s="2" t="s">
        <v>35</v>
      </c>
      <c r="I49" s="44" t="s">
        <v>612</v>
      </c>
      <c r="J49" s="2" t="s">
        <v>564</v>
      </c>
      <c r="K49" s="55">
        <v>1120000</v>
      </c>
      <c r="L49" s="56">
        <v>48446760</v>
      </c>
      <c r="M49" s="56">
        <v>72860800</v>
      </c>
      <c r="N49" s="57">
        <v>0.25605487662017429</v>
      </c>
      <c r="O49" s="56">
        <v>6251334</v>
      </c>
      <c r="P49" s="56"/>
      <c r="Q49" s="58">
        <v>0.17916175971400664</v>
      </c>
      <c r="R49" s="54">
        <v>1.6</v>
      </c>
      <c r="S49" s="56">
        <v>700000</v>
      </c>
      <c r="T49" s="56"/>
      <c r="U49" s="56"/>
      <c r="V49" s="56"/>
      <c r="W49" s="56">
        <v>500000</v>
      </c>
      <c r="X49" s="56"/>
      <c r="Y49" s="56"/>
      <c r="Z49" s="56"/>
      <c r="AA49" s="59">
        <v>600001</v>
      </c>
      <c r="AB49" s="59"/>
      <c r="AC49" s="59"/>
      <c r="AD49" s="29"/>
    </row>
    <row r="50" spans="1:50" x14ac:dyDescent="0.25">
      <c r="A50" s="47" t="s">
        <v>586</v>
      </c>
      <c r="B50" s="47" t="s">
        <v>608</v>
      </c>
      <c r="C50" s="63" t="s">
        <v>51</v>
      </c>
      <c r="D50" s="64" t="s">
        <v>85</v>
      </c>
      <c r="E50" s="64" t="s">
        <v>3</v>
      </c>
      <c r="F50" s="2" t="s">
        <v>33</v>
      </c>
      <c r="G50" s="31" t="s">
        <v>34</v>
      </c>
      <c r="H50" s="2" t="s">
        <v>35</v>
      </c>
      <c r="I50" s="44" t="s">
        <v>612</v>
      </c>
      <c r="J50" s="2" t="s">
        <v>564</v>
      </c>
      <c r="K50" s="55">
        <v>420000</v>
      </c>
      <c r="L50" s="56">
        <v>42390160</v>
      </c>
      <c r="M50" s="56">
        <v>58721280</v>
      </c>
      <c r="N50" s="57">
        <v>0.13873126889031492</v>
      </c>
      <c r="O50" s="56">
        <v>2265637</v>
      </c>
      <c r="P50" s="56"/>
      <c r="Q50" s="58">
        <v>0.18537832847892227</v>
      </c>
      <c r="R50" s="54">
        <v>1.6</v>
      </c>
      <c r="S50" s="56">
        <v>262500</v>
      </c>
      <c r="T50" s="56"/>
      <c r="U50" s="56"/>
      <c r="V50" s="56"/>
      <c r="W50" s="56">
        <v>420000</v>
      </c>
      <c r="X50" s="56"/>
      <c r="Y50" s="56"/>
      <c r="Z50" s="56"/>
      <c r="AA50" s="59"/>
      <c r="AB50" s="59"/>
      <c r="AC50" s="59"/>
      <c r="AD50" s="29"/>
    </row>
    <row r="51" spans="1:50" x14ac:dyDescent="0.25">
      <c r="A51" s="47" t="s">
        <v>587</v>
      </c>
      <c r="B51" s="47" t="s">
        <v>609</v>
      </c>
      <c r="C51" s="63" t="s">
        <v>51</v>
      </c>
      <c r="D51" s="64" t="s">
        <v>85</v>
      </c>
      <c r="E51" s="64" t="s">
        <v>534</v>
      </c>
      <c r="F51" s="54" t="s">
        <v>41</v>
      </c>
      <c r="G51" s="31" t="s">
        <v>34</v>
      </c>
      <c r="H51" s="2" t="s">
        <v>35</v>
      </c>
      <c r="I51" s="44" t="s">
        <v>612</v>
      </c>
      <c r="J51" s="2" t="s">
        <v>564</v>
      </c>
      <c r="K51" s="55">
        <v>275000</v>
      </c>
      <c r="L51" s="56">
        <v>48446760</v>
      </c>
      <c r="M51" s="56">
        <v>72860800</v>
      </c>
      <c r="N51" s="57">
        <v>6.2870626901569748E-2</v>
      </c>
      <c r="O51" s="56">
        <v>1534926</v>
      </c>
      <c r="P51" s="56"/>
      <c r="Q51" s="58">
        <v>0.17916173157533327</v>
      </c>
      <c r="R51" s="54">
        <v>1.6</v>
      </c>
      <c r="S51" s="56">
        <v>171875</v>
      </c>
      <c r="T51" s="56"/>
      <c r="U51" s="56"/>
      <c r="V51" s="56"/>
      <c r="W51" s="56"/>
      <c r="X51" s="56"/>
      <c r="Y51" s="56"/>
      <c r="Z51" s="56">
        <v>275000</v>
      </c>
      <c r="AA51" s="59"/>
      <c r="AB51" s="59"/>
      <c r="AC51" s="59"/>
      <c r="AD51" s="29"/>
    </row>
    <row r="52" spans="1:50" x14ac:dyDescent="0.25">
      <c r="A52" s="47" t="s">
        <v>588</v>
      </c>
      <c r="B52" s="47" t="s">
        <v>610</v>
      </c>
      <c r="C52" s="63" t="s">
        <v>51</v>
      </c>
      <c r="D52" s="64" t="s">
        <v>85</v>
      </c>
      <c r="E52" s="64" t="s">
        <v>534</v>
      </c>
      <c r="F52" s="54" t="s">
        <v>41</v>
      </c>
      <c r="G52" s="31" t="s">
        <v>34</v>
      </c>
      <c r="H52" s="2" t="s">
        <v>35</v>
      </c>
      <c r="I52" s="44" t="s">
        <v>612</v>
      </c>
      <c r="J52" s="2" t="s">
        <v>564</v>
      </c>
      <c r="K52" s="55">
        <v>225000</v>
      </c>
      <c r="L52" s="56">
        <v>42390160</v>
      </c>
      <c r="M52" s="56">
        <v>58721280</v>
      </c>
      <c r="N52" s="57">
        <v>7.4320316059155775E-2</v>
      </c>
      <c r="O52" s="56">
        <v>1213734</v>
      </c>
      <c r="P52" s="56"/>
      <c r="Q52" s="58">
        <v>0.18537834484326879</v>
      </c>
      <c r="R52" s="54">
        <v>1.6</v>
      </c>
      <c r="S52" s="56">
        <v>140625</v>
      </c>
      <c r="T52" s="56"/>
      <c r="U52" s="56"/>
      <c r="V52" s="56"/>
      <c r="W52" s="56"/>
      <c r="X52" s="56"/>
      <c r="Y52" s="56"/>
      <c r="Z52" s="56">
        <v>225000</v>
      </c>
      <c r="AA52" s="59"/>
      <c r="AB52" s="59"/>
      <c r="AC52" s="59"/>
      <c r="AD52" s="29"/>
    </row>
    <row r="53" spans="1:50" x14ac:dyDescent="0.25">
      <c r="A53" s="47" t="s">
        <v>589</v>
      </c>
      <c r="B53" s="47" t="s">
        <v>126</v>
      </c>
      <c r="C53" s="63" t="s">
        <v>51</v>
      </c>
      <c r="D53" s="64" t="s">
        <v>126</v>
      </c>
      <c r="E53" s="64" t="s">
        <v>3</v>
      </c>
      <c r="F53" s="2" t="s">
        <v>33</v>
      </c>
      <c r="G53" s="31" t="s">
        <v>34</v>
      </c>
      <c r="H53" s="2" t="s">
        <v>35</v>
      </c>
      <c r="I53" s="44" t="s">
        <v>612</v>
      </c>
      <c r="J53" s="2" t="s">
        <v>564</v>
      </c>
      <c r="K53" s="55">
        <v>2000000</v>
      </c>
      <c r="L53" s="56">
        <v>51441472</v>
      </c>
      <c r="M53" s="56">
        <v>160551400</v>
      </c>
      <c r="N53" s="57">
        <v>0.15800339452153245</v>
      </c>
      <c r="O53" s="56">
        <v>17239739</v>
      </c>
      <c r="P53" s="56"/>
      <c r="Q53" s="58">
        <v>0.11601103705804362</v>
      </c>
      <c r="R53" s="54">
        <v>1.6</v>
      </c>
      <c r="S53" s="56">
        <v>1250000</v>
      </c>
      <c r="T53" s="56">
        <v>1000000</v>
      </c>
      <c r="U53" s="56"/>
      <c r="V53" s="56"/>
      <c r="W53" s="56">
        <v>1000000</v>
      </c>
      <c r="X53" s="56"/>
      <c r="Y53" s="56"/>
      <c r="Z53" s="56"/>
      <c r="AA53" s="59"/>
      <c r="AB53" s="59"/>
      <c r="AC53" s="59"/>
      <c r="AD53" s="29"/>
    </row>
    <row r="54" spans="1:50" x14ac:dyDescent="0.25">
      <c r="A54" s="47" t="s">
        <v>590</v>
      </c>
      <c r="B54" s="47" t="s">
        <v>611</v>
      </c>
      <c r="C54" s="63" t="s">
        <v>51</v>
      </c>
      <c r="D54" s="64" t="s">
        <v>126</v>
      </c>
      <c r="E54" s="64" t="s">
        <v>3</v>
      </c>
      <c r="F54" s="2" t="s">
        <v>33</v>
      </c>
      <c r="G54" s="31" t="s">
        <v>34</v>
      </c>
      <c r="H54" s="2" t="s">
        <v>35</v>
      </c>
      <c r="I54" s="44" t="s">
        <v>612</v>
      </c>
      <c r="J54" s="2" t="s">
        <v>564</v>
      </c>
      <c r="K54" s="55">
        <v>250000</v>
      </c>
      <c r="L54" s="56">
        <v>35841271</v>
      </c>
      <c r="M54" s="56">
        <v>76151474</v>
      </c>
      <c r="N54" s="57">
        <v>4.3023846840959841E-2</v>
      </c>
      <c r="O54" s="56">
        <v>1734300</v>
      </c>
      <c r="P54" s="56"/>
      <c r="Q54" s="58">
        <v>0.1441503776739895</v>
      </c>
      <c r="R54" s="54">
        <v>1.6</v>
      </c>
      <c r="S54" s="56">
        <v>156250</v>
      </c>
      <c r="T54" s="56"/>
      <c r="U54" s="56"/>
      <c r="V54" s="56"/>
      <c r="W54" s="56">
        <v>250000</v>
      </c>
      <c r="X54" s="56"/>
      <c r="Y54" s="56"/>
      <c r="Z54" s="56"/>
      <c r="AA54" s="59"/>
      <c r="AB54" s="59"/>
      <c r="AC54" s="59"/>
      <c r="AD54" s="29"/>
    </row>
    <row r="55" spans="1:50" x14ac:dyDescent="0.25">
      <c r="A55" s="47" t="s">
        <v>591</v>
      </c>
      <c r="B55" s="47" t="s">
        <v>272</v>
      </c>
      <c r="C55" s="63" t="s">
        <v>51</v>
      </c>
      <c r="D55" s="64" t="s">
        <v>113</v>
      </c>
      <c r="E55" s="64" t="s">
        <v>3</v>
      </c>
      <c r="F55" s="2" t="s">
        <v>33</v>
      </c>
      <c r="G55" s="31" t="s">
        <v>34</v>
      </c>
      <c r="H55" s="2" t="s">
        <v>35</v>
      </c>
      <c r="I55" s="44" t="s">
        <v>612</v>
      </c>
      <c r="J55" s="2" t="s">
        <v>564</v>
      </c>
      <c r="K55" s="55">
        <v>400000</v>
      </c>
      <c r="L55" s="56">
        <v>13682278</v>
      </c>
      <c r="M55" s="56">
        <v>20026304</v>
      </c>
      <c r="N55" s="57">
        <v>0.22318240814271567</v>
      </c>
      <c r="O55" s="56">
        <v>1415875</v>
      </c>
      <c r="P55" s="56"/>
      <c r="Q55" s="58">
        <v>0.28251081486713164</v>
      </c>
      <c r="R55" s="54">
        <v>1.6</v>
      </c>
      <c r="S55" s="56">
        <v>250000</v>
      </c>
      <c r="T55" s="56"/>
      <c r="U55" s="56"/>
      <c r="V55" s="56"/>
      <c r="W55" s="56">
        <v>400000</v>
      </c>
      <c r="X55" s="56"/>
      <c r="Y55" s="56"/>
      <c r="Z55" s="56"/>
      <c r="AA55" s="59"/>
      <c r="AB55" s="59"/>
      <c r="AC55" s="59"/>
      <c r="AD55" s="29"/>
    </row>
    <row r="56" spans="1:50" x14ac:dyDescent="0.25">
      <c r="A56" s="47" t="s">
        <v>592</v>
      </c>
      <c r="B56" s="47" t="s">
        <v>274</v>
      </c>
      <c r="C56" s="63" t="s">
        <v>51</v>
      </c>
      <c r="D56" s="64" t="s">
        <v>113</v>
      </c>
      <c r="E56" s="64" t="s">
        <v>3</v>
      </c>
      <c r="F56" s="2" t="s">
        <v>33</v>
      </c>
      <c r="G56" s="31" t="s">
        <v>34</v>
      </c>
      <c r="H56" s="2" t="s">
        <v>35</v>
      </c>
      <c r="I56" s="44" t="s">
        <v>612</v>
      </c>
      <c r="J56" s="2" t="s">
        <v>564</v>
      </c>
      <c r="K56" s="55">
        <v>100000</v>
      </c>
      <c r="L56" s="56">
        <v>22890244</v>
      </c>
      <c r="M56" s="56">
        <v>33026236</v>
      </c>
      <c r="N56" s="57">
        <v>3.1334180216401115E-2</v>
      </c>
      <c r="O56" s="56">
        <v>317603</v>
      </c>
      <c r="P56" s="56"/>
      <c r="Q56" s="58">
        <v>0.31485848685308387</v>
      </c>
      <c r="R56" s="54">
        <v>1.6</v>
      </c>
      <c r="S56" s="56">
        <v>62500</v>
      </c>
      <c r="T56" s="56"/>
      <c r="U56" s="56"/>
      <c r="V56" s="56"/>
      <c r="W56" s="56">
        <v>100000</v>
      </c>
      <c r="X56" s="56"/>
      <c r="Y56" s="56"/>
      <c r="Z56" s="56"/>
      <c r="AA56" s="59"/>
      <c r="AB56" s="59"/>
      <c r="AC56" s="59"/>
      <c r="AD56" s="29"/>
    </row>
    <row r="57" spans="1:50" x14ac:dyDescent="0.25">
      <c r="A57" s="47" t="s">
        <v>593</v>
      </c>
      <c r="B57" s="47" t="s">
        <v>276</v>
      </c>
      <c r="C57" s="63" t="s">
        <v>51</v>
      </c>
      <c r="D57" s="64" t="s">
        <v>113</v>
      </c>
      <c r="E57" s="64" t="s">
        <v>3</v>
      </c>
      <c r="F57" s="2" t="s">
        <v>33</v>
      </c>
      <c r="G57" s="31" t="s">
        <v>34</v>
      </c>
      <c r="H57" s="2" t="s">
        <v>35</v>
      </c>
      <c r="I57" s="44" t="s">
        <v>612</v>
      </c>
      <c r="J57" s="2" t="s">
        <v>564</v>
      </c>
      <c r="K57" s="55">
        <v>800000</v>
      </c>
      <c r="L57" s="56">
        <v>7331833</v>
      </c>
      <c r="M57" s="56">
        <v>31678960</v>
      </c>
      <c r="N57" s="57">
        <v>0.14311179302592869</v>
      </c>
      <c r="O57" s="56">
        <v>3484361</v>
      </c>
      <c r="P57" s="56"/>
      <c r="Q57" s="58">
        <v>0.22959733506373192</v>
      </c>
      <c r="R57" s="54">
        <v>1.6</v>
      </c>
      <c r="S57" s="56">
        <v>500000</v>
      </c>
      <c r="T57" s="56"/>
      <c r="U57" s="56"/>
      <c r="V57" s="56"/>
      <c r="W57" s="56">
        <v>800000</v>
      </c>
      <c r="X57" s="56"/>
      <c r="Y57" s="56"/>
      <c r="Z57" s="56"/>
      <c r="AA57" s="59"/>
      <c r="AB57" s="59"/>
      <c r="AC57" s="59"/>
      <c r="AD57" s="29"/>
    </row>
    <row r="58" spans="1:50" x14ac:dyDescent="0.25">
      <c r="A58" s="47" t="s">
        <v>594</v>
      </c>
      <c r="B58" s="47" t="s">
        <v>278</v>
      </c>
      <c r="C58" s="63" t="s">
        <v>51</v>
      </c>
      <c r="D58" s="64" t="s">
        <v>113</v>
      </c>
      <c r="E58" s="64" t="s">
        <v>3</v>
      </c>
      <c r="F58" s="2" t="s">
        <v>33</v>
      </c>
      <c r="G58" s="31" t="s">
        <v>34</v>
      </c>
      <c r="H58" s="2" t="s">
        <v>35</v>
      </c>
      <c r="I58" s="44" t="s">
        <v>612</v>
      </c>
      <c r="J58" s="2" t="s">
        <v>564</v>
      </c>
      <c r="K58" s="55">
        <v>700000</v>
      </c>
      <c r="L58" s="56">
        <v>35296722</v>
      </c>
      <c r="M58" s="56">
        <v>91872811</v>
      </c>
      <c r="N58" s="57">
        <v>5.2350861509709516E-2</v>
      </c>
      <c r="O58" s="56">
        <v>2961807</v>
      </c>
      <c r="P58" s="56"/>
      <c r="Q58" s="58">
        <v>0.23634220595737671</v>
      </c>
      <c r="R58" s="54">
        <v>1.6</v>
      </c>
      <c r="S58" s="56">
        <v>437500</v>
      </c>
      <c r="T58" s="56"/>
      <c r="U58" s="56"/>
      <c r="V58" s="56"/>
      <c r="W58" s="56">
        <v>700000</v>
      </c>
      <c r="X58" s="56"/>
      <c r="Y58" s="56"/>
      <c r="Z58" s="56"/>
      <c r="AA58" s="59"/>
      <c r="AB58" s="59"/>
      <c r="AC58" s="59"/>
      <c r="AD58" s="29"/>
    </row>
    <row r="59" spans="1:50" x14ac:dyDescent="0.25">
      <c r="A59" s="47" t="s">
        <v>595</v>
      </c>
      <c r="B59" s="47" t="s">
        <v>162</v>
      </c>
      <c r="C59" s="63" t="s">
        <v>51</v>
      </c>
      <c r="D59" s="64" t="s">
        <v>160</v>
      </c>
      <c r="E59" s="64" t="s">
        <v>3</v>
      </c>
      <c r="F59" s="2" t="s">
        <v>33</v>
      </c>
      <c r="G59" s="31" t="s">
        <v>48</v>
      </c>
      <c r="H59" s="2" t="s">
        <v>35</v>
      </c>
      <c r="I59" s="44" t="s">
        <v>612</v>
      </c>
      <c r="J59" s="2" t="s">
        <v>564</v>
      </c>
      <c r="K59" s="55">
        <v>300000</v>
      </c>
      <c r="L59" s="56">
        <v>2271823</v>
      </c>
      <c r="M59" s="56">
        <v>23243997</v>
      </c>
      <c r="N59" s="57">
        <v>8.4905217742328482E-2</v>
      </c>
      <c r="O59" s="56">
        <v>1780647</v>
      </c>
      <c r="P59" s="56"/>
      <c r="Q59" s="58">
        <v>0.16847808689762767</v>
      </c>
      <c r="R59" s="54">
        <v>1.6</v>
      </c>
      <c r="S59" s="56">
        <v>187500</v>
      </c>
      <c r="T59" s="56">
        <v>300000</v>
      </c>
      <c r="U59" s="56"/>
      <c r="V59" s="56"/>
      <c r="W59" s="56"/>
      <c r="X59" s="56"/>
      <c r="Y59" s="56"/>
      <c r="Z59" s="56"/>
      <c r="AA59" s="59"/>
      <c r="AB59" s="59"/>
      <c r="AC59" s="59"/>
      <c r="AD59" s="29"/>
    </row>
    <row r="60" spans="1:50" x14ac:dyDescent="0.25">
      <c r="A60" s="47" t="s">
        <v>596</v>
      </c>
      <c r="B60" s="47" t="s">
        <v>159</v>
      </c>
      <c r="C60" s="63" t="s">
        <v>51</v>
      </c>
      <c r="D60" s="64" t="s">
        <v>160</v>
      </c>
      <c r="E60" s="64" t="s">
        <v>3</v>
      </c>
      <c r="F60" s="2" t="s">
        <v>33</v>
      </c>
      <c r="G60" s="31" t="s">
        <v>34</v>
      </c>
      <c r="H60" s="2" t="s">
        <v>35</v>
      </c>
      <c r="I60" s="44" t="s">
        <v>612</v>
      </c>
      <c r="J60" s="2" t="s">
        <v>564</v>
      </c>
      <c r="K60" s="55">
        <v>700000</v>
      </c>
      <c r="L60" s="56">
        <v>5676244</v>
      </c>
      <c r="M60" s="56">
        <v>26252730</v>
      </c>
      <c r="N60" s="57">
        <v>9.7230207334721777E-2</v>
      </c>
      <c r="O60" s="56">
        <v>2000656</v>
      </c>
      <c r="P60" s="56"/>
      <c r="Q60" s="58">
        <v>0.34988523764205343</v>
      </c>
      <c r="R60" s="54">
        <v>1.6</v>
      </c>
      <c r="S60" s="56">
        <v>437500</v>
      </c>
      <c r="T60" s="56">
        <v>700000</v>
      </c>
      <c r="U60" s="56"/>
      <c r="V60" s="56"/>
      <c r="W60" s="56"/>
      <c r="X60" s="56"/>
      <c r="Y60" s="56"/>
      <c r="Z60" s="56"/>
      <c r="AA60" s="59"/>
      <c r="AB60" s="59"/>
      <c r="AC60" s="59"/>
      <c r="AD60" s="29"/>
    </row>
    <row r="61" spans="1:50" x14ac:dyDescent="0.25">
      <c r="A61" s="47" t="s">
        <v>29</v>
      </c>
      <c r="B61" s="47" t="s">
        <v>30</v>
      </c>
      <c r="C61" s="2" t="s">
        <v>31</v>
      </c>
      <c r="D61" s="22" t="s">
        <v>32</v>
      </c>
      <c r="E61" s="62" t="s">
        <v>3</v>
      </c>
      <c r="F61" s="2" t="s">
        <v>33</v>
      </c>
      <c r="G61" s="31" t="s">
        <v>34</v>
      </c>
      <c r="H61" s="2" t="s">
        <v>35</v>
      </c>
      <c r="I61" s="44" t="s">
        <v>36</v>
      </c>
      <c r="J61" s="2" t="s">
        <v>37</v>
      </c>
      <c r="K61" s="7">
        <v>318812</v>
      </c>
      <c r="L61" s="5">
        <v>2049075</v>
      </c>
      <c r="M61" s="5">
        <v>32574506</v>
      </c>
      <c r="N61" s="8">
        <v>7.0599999999999996E-2</v>
      </c>
      <c r="O61" s="5">
        <v>2155095</v>
      </c>
      <c r="P61" s="5">
        <v>863559.78500000003</v>
      </c>
      <c r="Q61" s="9">
        <v>0.14793408179221801</v>
      </c>
      <c r="R61" s="2">
        <v>1.43</v>
      </c>
      <c r="S61" s="5">
        <v>222945.45454545459</v>
      </c>
      <c r="T61" s="5">
        <v>318812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3">
        <v>0</v>
      </c>
      <c r="AB61" s="3">
        <v>0</v>
      </c>
      <c r="AC61" s="3">
        <v>0</v>
      </c>
      <c r="AD61" s="29">
        <v>0</v>
      </c>
    </row>
    <row r="62" spans="1:50" x14ac:dyDescent="0.25">
      <c r="A62" s="47" t="s">
        <v>38</v>
      </c>
      <c r="B62" s="47" t="s">
        <v>39</v>
      </c>
      <c r="C62" s="2" t="s">
        <v>31</v>
      </c>
      <c r="D62" s="22" t="s">
        <v>40</v>
      </c>
      <c r="E62" s="62" t="s">
        <v>534</v>
      </c>
      <c r="F62" s="2" t="s">
        <v>41</v>
      </c>
      <c r="G62" s="31" t="s">
        <v>34</v>
      </c>
      <c r="H62" s="2" t="s">
        <v>35</v>
      </c>
      <c r="I62" s="44" t="s">
        <v>36</v>
      </c>
      <c r="J62" s="2" t="s">
        <v>37</v>
      </c>
      <c r="K62" s="7">
        <v>1000000</v>
      </c>
      <c r="L62" s="5">
        <v>43949120</v>
      </c>
      <c r="M62" s="5">
        <v>82110317</v>
      </c>
      <c r="N62" s="8">
        <v>0.16675601134838619</v>
      </c>
      <c r="O62" s="5">
        <v>6363609</v>
      </c>
      <c r="P62" s="7"/>
      <c r="Q62" s="9">
        <v>0.15714353286004851</v>
      </c>
      <c r="R62" s="2">
        <v>1.43</v>
      </c>
      <c r="S62" s="5">
        <v>699300.69930069929</v>
      </c>
      <c r="T62" s="5">
        <v>0</v>
      </c>
      <c r="U62" s="5">
        <v>717000</v>
      </c>
      <c r="V62" s="5">
        <v>0</v>
      </c>
      <c r="W62" s="5">
        <v>0</v>
      </c>
      <c r="X62" s="5">
        <v>0</v>
      </c>
      <c r="Y62" s="5">
        <v>0</v>
      </c>
      <c r="Z62" s="5">
        <v>283000</v>
      </c>
      <c r="AA62" s="3">
        <v>0</v>
      </c>
      <c r="AB62" s="3">
        <v>0</v>
      </c>
      <c r="AC62" s="3">
        <v>0</v>
      </c>
      <c r="AD62" s="29">
        <v>0</v>
      </c>
    </row>
    <row r="63" spans="1:50" x14ac:dyDescent="0.25">
      <c r="A63" s="47" t="s">
        <v>42</v>
      </c>
      <c r="B63" s="47" t="s">
        <v>43</v>
      </c>
      <c r="C63" s="2" t="s">
        <v>31</v>
      </c>
      <c r="D63" s="22" t="s">
        <v>44</v>
      </c>
      <c r="E63" s="62" t="s">
        <v>534</v>
      </c>
      <c r="F63" s="2" t="s">
        <v>41</v>
      </c>
      <c r="G63" s="31" t="s">
        <v>34</v>
      </c>
      <c r="H63" s="2" t="s">
        <v>35</v>
      </c>
      <c r="I63" s="44" t="s">
        <v>36</v>
      </c>
      <c r="J63" s="2" t="s">
        <v>37</v>
      </c>
      <c r="K63" s="7">
        <v>2000000</v>
      </c>
      <c r="L63" s="5">
        <v>31766858</v>
      </c>
      <c r="M63" s="5">
        <v>59405394</v>
      </c>
      <c r="N63" s="8">
        <v>0.39094668400670718</v>
      </c>
      <c r="O63" s="5">
        <v>10805194</v>
      </c>
      <c r="P63" s="7"/>
      <c r="Q63" s="9">
        <v>0.18509616763937789</v>
      </c>
      <c r="R63" s="2">
        <v>1.43</v>
      </c>
      <c r="S63" s="5">
        <v>1398601.398601399</v>
      </c>
      <c r="T63" s="5">
        <v>0</v>
      </c>
      <c r="U63" s="5">
        <v>1282000</v>
      </c>
      <c r="V63" s="5">
        <v>0</v>
      </c>
      <c r="W63" s="5">
        <v>0</v>
      </c>
      <c r="X63" s="5">
        <v>0</v>
      </c>
      <c r="Y63" s="5">
        <v>0</v>
      </c>
      <c r="Z63" s="5">
        <v>718000</v>
      </c>
      <c r="AA63" s="3">
        <v>0</v>
      </c>
      <c r="AB63" s="3">
        <v>0</v>
      </c>
      <c r="AC63" s="3">
        <v>0</v>
      </c>
      <c r="AD63" s="29">
        <v>0</v>
      </c>
    </row>
    <row r="64" spans="1:50" x14ac:dyDescent="0.25">
      <c r="A64" s="47" t="s">
        <v>45</v>
      </c>
      <c r="B64" s="47" t="s">
        <v>46</v>
      </c>
      <c r="C64" s="2" t="s">
        <v>31</v>
      </c>
      <c r="D64" s="22" t="s">
        <v>47</v>
      </c>
      <c r="E64" s="62" t="s">
        <v>534</v>
      </c>
      <c r="F64" s="2" t="s">
        <v>41</v>
      </c>
      <c r="G64" s="31" t="s">
        <v>48</v>
      </c>
      <c r="H64" s="2" t="s">
        <v>35</v>
      </c>
      <c r="I64" s="44" t="s">
        <v>36</v>
      </c>
      <c r="J64" s="2" t="s">
        <v>37</v>
      </c>
      <c r="K64" s="7">
        <v>1000000</v>
      </c>
      <c r="L64" s="5">
        <v>30568440</v>
      </c>
      <c r="M64" s="5">
        <v>39470702</v>
      </c>
      <c r="N64" s="8">
        <v>0.5388855102220087</v>
      </c>
      <c r="O64" s="5">
        <v>4797300</v>
      </c>
      <c r="P64" s="7"/>
      <c r="Q64" s="9">
        <v>0.20845058678840181</v>
      </c>
      <c r="R64" s="2">
        <v>1.43</v>
      </c>
      <c r="S64" s="5">
        <v>699300.69930069929</v>
      </c>
      <c r="T64" s="5">
        <v>0</v>
      </c>
      <c r="U64" s="5">
        <v>500000</v>
      </c>
      <c r="V64" s="5">
        <v>0</v>
      </c>
      <c r="W64" s="5">
        <v>0</v>
      </c>
      <c r="X64" s="5">
        <v>0</v>
      </c>
      <c r="Y64" s="5">
        <v>0</v>
      </c>
      <c r="Z64" s="5">
        <v>500000</v>
      </c>
      <c r="AA64" s="3">
        <v>0</v>
      </c>
      <c r="AB64" s="3">
        <v>0</v>
      </c>
      <c r="AC64" s="3">
        <v>0</v>
      </c>
      <c r="AD64" s="29"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30" x14ac:dyDescent="0.25">
      <c r="A65" s="47" t="s">
        <v>49</v>
      </c>
      <c r="B65" s="47" t="s">
        <v>50</v>
      </c>
      <c r="C65" s="2" t="s">
        <v>51</v>
      </c>
      <c r="D65" s="22" t="s">
        <v>52</v>
      </c>
      <c r="E65" s="62" t="s">
        <v>534</v>
      </c>
      <c r="F65" s="2" t="s">
        <v>41</v>
      </c>
      <c r="G65" s="31" t="s">
        <v>48</v>
      </c>
      <c r="H65" s="2" t="s">
        <v>35</v>
      </c>
      <c r="I65" s="44" t="s">
        <v>36</v>
      </c>
      <c r="J65" s="2" t="s">
        <v>37</v>
      </c>
      <c r="K65" s="7">
        <v>1000000</v>
      </c>
      <c r="L65" s="5">
        <v>24190908</v>
      </c>
      <c r="M65" s="5">
        <v>61808462</v>
      </c>
      <c r="N65" s="8">
        <v>0.12353889357080471</v>
      </c>
      <c r="O65" s="5">
        <v>4647231</v>
      </c>
      <c r="P65" s="7"/>
      <c r="Q65" s="9">
        <v>0.21518190079210611</v>
      </c>
      <c r="R65" s="2">
        <v>1.43</v>
      </c>
      <c r="S65" s="5">
        <v>699300.69930069929</v>
      </c>
      <c r="T65" s="5">
        <v>0</v>
      </c>
      <c r="U65" s="5">
        <v>500000</v>
      </c>
      <c r="V65" s="5">
        <v>0</v>
      </c>
      <c r="W65" s="5">
        <v>0</v>
      </c>
      <c r="X65" s="5">
        <v>0</v>
      </c>
      <c r="Y65" s="5">
        <v>0</v>
      </c>
      <c r="Z65" s="5">
        <v>500000</v>
      </c>
      <c r="AA65" s="3">
        <v>0</v>
      </c>
      <c r="AB65" s="3">
        <v>0</v>
      </c>
      <c r="AC65" s="3">
        <v>0</v>
      </c>
      <c r="AD65" s="29">
        <v>0</v>
      </c>
    </row>
    <row r="66" spans="1:30" x14ac:dyDescent="0.25">
      <c r="A66" s="47" t="s">
        <v>53</v>
      </c>
      <c r="B66" s="47" t="s">
        <v>54</v>
      </c>
      <c r="C66" s="2" t="s">
        <v>31</v>
      </c>
      <c r="D66" s="22" t="s">
        <v>55</v>
      </c>
      <c r="E66" s="62" t="s">
        <v>534</v>
      </c>
      <c r="F66" s="2" t="s">
        <v>41</v>
      </c>
      <c r="G66" s="31" t="s">
        <v>34</v>
      </c>
      <c r="H66" s="2" t="s">
        <v>35</v>
      </c>
      <c r="I66" s="44" t="s">
        <v>36</v>
      </c>
      <c r="J66" s="2" t="s">
        <v>37</v>
      </c>
      <c r="K66" s="7">
        <v>400000</v>
      </c>
      <c r="L66" s="5">
        <v>9468653</v>
      </c>
      <c r="M66" s="5">
        <v>16737302</v>
      </c>
      <c r="N66" s="8">
        <v>0.31998394749835912</v>
      </c>
      <c r="O66" s="5">
        <v>2325851</v>
      </c>
      <c r="P66" s="7"/>
      <c r="Q66" s="9">
        <v>0.17198006235137159</v>
      </c>
      <c r="R66" s="2">
        <v>1.43</v>
      </c>
      <c r="S66" s="5">
        <v>279720.27972027968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400000</v>
      </c>
      <c r="AA66" s="3">
        <v>0</v>
      </c>
      <c r="AB66" s="3">
        <v>0</v>
      </c>
      <c r="AC66" s="3">
        <v>0</v>
      </c>
      <c r="AD66" s="29">
        <v>0</v>
      </c>
    </row>
    <row r="67" spans="1:30" x14ac:dyDescent="0.25">
      <c r="A67" s="47" t="s">
        <v>56</v>
      </c>
      <c r="B67" s="47" t="s">
        <v>57</v>
      </c>
      <c r="C67" s="2" t="s">
        <v>31</v>
      </c>
      <c r="D67" s="22" t="s">
        <v>44</v>
      </c>
      <c r="E67" s="62" t="s">
        <v>536</v>
      </c>
      <c r="F67" s="2" t="s">
        <v>41</v>
      </c>
      <c r="G67" s="31" t="s">
        <v>34</v>
      </c>
      <c r="H67" s="2" t="s">
        <v>35</v>
      </c>
      <c r="I67" s="44" t="s">
        <v>36</v>
      </c>
      <c r="J67" s="2" t="s">
        <v>37</v>
      </c>
      <c r="K67" s="7">
        <v>500000</v>
      </c>
      <c r="L67" s="5">
        <v>27312780</v>
      </c>
      <c r="M67" s="5">
        <v>61501617</v>
      </c>
      <c r="N67" s="8">
        <v>7.1809550000194511E-2</v>
      </c>
      <c r="O67" s="5">
        <v>2455085</v>
      </c>
      <c r="P67" s="7"/>
      <c r="Q67" s="9">
        <v>0.2036589364523021</v>
      </c>
      <c r="R67" s="2">
        <v>1.43</v>
      </c>
      <c r="S67" s="5">
        <v>349650.34965034958</v>
      </c>
      <c r="T67" s="5">
        <v>0</v>
      </c>
      <c r="U67" s="5">
        <v>500000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3">
        <v>0</v>
      </c>
      <c r="AB67" s="3">
        <v>0</v>
      </c>
      <c r="AC67" s="3">
        <v>0</v>
      </c>
      <c r="AD67" s="29">
        <v>0</v>
      </c>
    </row>
    <row r="68" spans="1:30" x14ac:dyDescent="0.25">
      <c r="A68" s="47" t="s">
        <v>58</v>
      </c>
      <c r="B68" s="47" t="s">
        <v>59</v>
      </c>
      <c r="C68" s="2" t="s">
        <v>31</v>
      </c>
      <c r="D68" s="22" t="s">
        <v>60</v>
      </c>
      <c r="E68" s="53" t="s">
        <v>3</v>
      </c>
      <c r="F68" s="2" t="s">
        <v>33</v>
      </c>
      <c r="G68" s="31" t="s">
        <v>34</v>
      </c>
      <c r="H68" s="2" t="s">
        <v>35</v>
      </c>
      <c r="I68" s="44" t="s">
        <v>36</v>
      </c>
      <c r="J68" s="2" t="s">
        <v>37</v>
      </c>
      <c r="K68" s="7">
        <v>500000.111945652</v>
      </c>
      <c r="L68" s="5">
        <v>4336800</v>
      </c>
      <c r="M68" s="5">
        <v>40090610.08206331</v>
      </c>
      <c r="N68" s="8">
        <v>8.5299999999999987E-2</v>
      </c>
      <c r="O68" s="5">
        <v>3049800</v>
      </c>
      <c r="P68" s="7">
        <v>960201.62799999991</v>
      </c>
      <c r="Q68" s="9">
        <v>0.16394521343879989</v>
      </c>
      <c r="R68" s="2">
        <v>1.43</v>
      </c>
      <c r="S68" s="5">
        <v>349650.42793402239</v>
      </c>
      <c r="T68" s="5">
        <v>0</v>
      </c>
      <c r="U68" s="5">
        <v>400000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3">
        <v>0</v>
      </c>
      <c r="AB68" s="3">
        <v>0</v>
      </c>
      <c r="AC68" s="3">
        <v>100000</v>
      </c>
      <c r="AD68" s="29">
        <v>0</v>
      </c>
    </row>
    <row r="69" spans="1:30" x14ac:dyDescent="0.25">
      <c r="A69" s="47" t="s">
        <v>61</v>
      </c>
      <c r="B69" s="47" t="s">
        <v>62</v>
      </c>
      <c r="C69" s="2" t="s">
        <v>31</v>
      </c>
      <c r="D69" s="22" t="s">
        <v>60</v>
      </c>
      <c r="E69" s="53" t="s">
        <v>3</v>
      </c>
      <c r="F69" s="2" t="s">
        <v>33</v>
      </c>
      <c r="G69" s="31" t="s">
        <v>34</v>
      </c>
      <c r="H69" s="2" t="s">
        <v>35</v>
      </c>
      <c r="I69" s="44" t="s">
        <v>36</v>
      </c>
      <c r="J69" s="2" t="s">
        <v>37</v>
      </c>
      <c r="K69" s="7">
        <v>500000.0344449362</v>
      </c>
      <c r="L69" s="5">
        <v>13071780</v>
      </c>
      <c r="M69" s="5">
        <v>21006221.575209811</v>
      </c>
      <c r="N69" s="8">
        <v>0.30980000000000002</v>
      </c>
      <c r="O69" s="5">
        <v>2458090</v>
      </c>
      <c r="P69" s="5">
        <v>1927333.956</v>
      </c>
      <c r="Q69" s="9">
        <v>0.20340997866023469</v>
      </c>
      <c r="R69" s="2">
        <v>1.43</v>
      </c>
      <c r="S69" s="5">
        <v>349650.37373771757</v>
      </c>
      <c r="T69" s="5">
        <v>0</v>
      </c>
      <c r="U69" s="5">
        <v>400000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3">
        <v>0</v>
      </c>
      <c r="AB69" s="3">
        <v>0</v>
      </c>
      <c r="AC69" s="3">
        <v>100000</v>
      </c>
      <c r="AD69" s="29">
        <v>0</v>
      </c>
    </row>
    <row r="70" spans="1:30" x14ac:dyDescent="0.25">
      <c r="A70" s="47" t="s">
        <v>63</v>
      </c>
      <c r="B70" s="47" t="s">
        <v>64</v>
      </c>
      <c r="C70" s="2" t="s">
        <v>31</v>
      </c>
      <c r="D70" s="22" t="s">
        <v>65</v>
      </c>
      <c r="E70" s="64" t="s">
        <v>3</v>
      </c>
      <c r="F70" s="2" t="s">
        <v>33</v>
      </c>
      <c r="G70" s="31" t="s">
        <v>34</v>
      </c>
      <c r="H70" s="2" t="s">
        <v>35</v>
      </c>
      <c r="I70" s="44" t="s">
        <v>36</v>
      </c>
      <c r="J70" s="2" t="s">
        <v>37</v>
      </c>
      <c r="K70" s="7">
        <v>437633</v>
      </c>
      <c r="L70" s="5">
        <v>20332044</v>
      </c>
      <c r="M70" s="5">
        <v>26486402</v>
      </c>
      <c r="N70" s="8">
        <v>0.28499999512540553</v>
      </c>
      <c r="O70" s="5">
        <v>1753992</v>
      </c>
      <c r="P70" s="5"/>
      <c r="Q70" s="9">
        <v>0.24950683925582329</v>
      </c>
      <c r="R70" s="2">
        <v>1.43</v>
      </c>
      <c r="S70" s="5">
        <v>306037.06293706287</v>
      </c>
      <c r="T70" s="5">
        <v>163180.25</v>
      </c>
      <c r="U70" s="5">
        <v>0</v>
      </c>
      <c r="V70" s="5">
        <v>0</v>
      </c>
      <c r="W70" s="5">
        <v>163180.25</v>
      </c>
      <c r="X70" s="5">
        <v>0</v>
      </c>
      <c r="Y70" s="5">
        <v>0</v>
      </c>
      <c r="Z70" s="5">
        <v>0</v>
      </c>
      <c r="AA70" s="3">
        <v>0</v>
      </c>
      <c r="AB70" s="3">
        <v>0</v>
      </c>
      <c r="AC70" s="3">
        <v>0</v>
      </c>
      <c r="AD70" s="29">
        <v>0</v>
      </c>
    </row>
    <row r="71" spans="1:30" x14ac:dyDescent="0.25">
      <c r="A71" s="47" t="s">
        <v>66</v>
      </c>
      <c r="B71" s="47" t="s">
        <v>67</v>
      </c>
      <c r="C71" s="2" t="s">
        <v>31</v>
      </c>
      <c r="D71" s="22" t="s">
        <v>65</v>
      </c>
      <c r="E71" s="64" t="s">
        <v>3</v>
      </c>
      <c r="F71" s="2" t="s">
        <v>33</v>
      </c>
      <c r="G71" s="31" t="s">
        <v>34</v>
      </c>
      <c r="H71" s="2" t="s">
        <v>35</v>
      </c>
      <c r="I71" s="44" t="s">
        <v>36</v>
      </c>
      <c r="J71" s="2" t="s">
        <v>37</v>
      </c>
      <c r="K71" s="7">
        <v>215088</v>
      </c>
      <c r="L71" s="5">
        <v>23637240</v>
      </c>
      <c r="M71" s="5">
        <v>30816669</v>
      </c>
      <c r="N71" s="8">
        <v>0.1049999937320921</v>
      </c>
      <c r="O71" s="5">
        <v>753840</v>
      </c>
      <c r="P71" s="5"/>
      <c r="Q71" s="9">
        <v>0.28532314549506532</v>
      </c>
      <c r="R71" s="2">
        <v>1.43</v>
      </c>
      <c r="S71" s="5">
        <v>150411.1888111888</v>
      </c>
      <c r="T71" s="5">
        <v>163180.25</v>
      </c>
      <c r="U71" s="5">
        <v>0</v>
      </c>
      <c r="V71" s="5">
        <v>0</v>
      </c>
      <c r="W71" s="5">
        <v>163180.25</v>
      </c>
      <c r="X71" s="5">
        <v>0</v>
      </c>
      <c r="Y71" s="5">
        <v>0</v>
      </c>
      <c r="Z71" s="5">
        <v>0</v>
      </c>
      <c r="AA71" s="3">
        <v>0</v>
      </c>
      <c r="AB71" s="3">
        <v>0</v>
      </c>
      <c r="AC71" s="3">
        <v>0</v>
      </c>
      <c r="AD71" s="29">
        <v>0</v>
      </c>
    </row>
    <row r="72" spans="1:30" x14ac:dyDescent="0.25">
      <c r="A72" s="47" t="s">
        <v>68</v>
      </c>
      <c r="B72" s="47" t="s">
        <v>69</v>
      </c>
      <c r="C72" s="2" t="s">
        <v>31</v>
      </c>
      <c r="D72" s="22" t="s">
        <v>70</v>
      </c>
      <c r="E72" s="64" t="s">
        <v>3</v>
      </c>
      <c r="F72" s="2" t="s">
        <v>33</v>
      </c>
      <c r="G72" s="31" t="s">
        <v>34</v>
      </c>
      <c r="H72" s="2" t="s">
        <v>35</v>
      </c>
      <c r="I72" s="44" t="s">
        <v>36</v>
      </c>
      <c r="J72" s="2" t="s">
        <v>37</v>
      </c>
      <c r="K72" s="7">
        <v>1000000</v>
      </c>
      <c r="L72" s="5">
        <v>9006793</v>
      </c>
      <c r="M72" s="5">
        <v>35984976</v>
      </c>
      <c r="N72" s="8">
        <v>0.18155140396223129</v>
      </c>
      <c r="O72" s="5">
        <v>4897927</v>
      </c>
      <c r="P72" s="5"/>
      <c r="Q72" s="9">
        <v>0.2041680082206207</v>
      </c>
      <c r="R72" s="2">
        <v>1.43</v>
      </c>
      <c r="S72" s="5">
        <v>699300.69930069929</v>
      </c>
      <c r="T72" s="5">
        <v>0</v>
      </c>
      <c r="U72" s="5">
        <v>0</v>
      </c>
      <c r="V72" s="5">
        <v>0</v>
      </c>
      <c r="W72" s="5">
        <v>1000000</v>
      </c>
      <c r="X72" s="5">
        <v>0</v>
      </c>
      <c r="Y72" s="5">
        <v>0</v>
      </c>
      <c r="Z72" s="5">
        <v>0</v>
      </c>
      <c r="AA72" s="3">
        <v>0</v>
      </c>
      <c r="AB72" s="3">
        <v>0</v>
      </c>
      <c r="AC72" s="3">
        <v>0</v>
      </c>
      <c r="AD72" s="29">
        <v>0</v>
      </c>
    </row>
    <row r="73" spans="1:30" x14ac:dyDescent="0.25">
      <c r="A73" s="47" t="s">
        <v>71</v>
      </c>
      <c r="B73" s="47" t="s">
        <v>72</v>
      </c>
      <c r="C73" s="2" t="s">
        <v>51</v>
      </c>
      <c r="D73" s="22" t="s">
        <v>73</v>
      </c>
      <c r="E73" s="53" t="s">
        <v>3</v>
      </c>
      <c r="F73" s="2" t="s">
        <v>33</v>
      </c>
      <c r="G73" s="31" t="s">
        <v>34</v>
      </c>
      <c r="H73" s="2" t="s">
        <v>35</v>
      </c>
      <c r="I73" s="44" t="s">
        <v>74</v>
      </c>
      <c r="J73" s="2" t="s">
        <v>37</v>
      </c>
      <c r="K73" s="7">
        <v>1200000</v>
      </c>
      <c r="L73" s="5">
        <v>67611353</v>
      </c>
      <c r="M73" s="5">
        <v>80373878</v>
      </c>
      <c r="N73" s="8">
        <v>0.35079147739181699</v>
      </c>
      <c r="O73" s="5">
        <v>4476985</v>
      </c>
      <c r="P73" s="5">
        <v>1455710.0309564511</v>
      </c>
      <c r="Q73" s="9">
        <v>0.26803752972145323</v>
      </c>
      <c r="R73" s="2">
        <v>1.43</v>
      </c>
      <c r="S73" s="5">
        <v>839160.83916083921</v>
      </c>
      <c r="T73" s="5">
        <v>0</v>
      </c>
      <c r="U73" s="5">
        <v>0</v>
      </c>
      <c r="V73" s="5">
        <v>0</v>
      </c>
      <c r="W73" s="5">
        <v>1200000</v>
      </c>
      <c r="X73" s="5">
        <v>0</v>
      </c>
      <c r="Y73" s="5">
        <v>0</v>
      </c>
      <c r="Z73" s="5">
        <v>0</v>
      </c>
      <c r="AA73" s="3">
        <v>0</v>
      </c>
      <c r="AB73" s="3">
        <v>0</v>
      </c>
      <c r="AC73" s="3">
        <v>0</v>
      </c>
      <c r="AD73" s="29">
        <v>0</v>
      </c>
    </row>
    <row r="74" spans="1:30" x14ac:dyDescent="0.25">
      <c r="A74" s="47" t="s">
        <v>75</v>
      </c>
      <c r="B74" s="47" t="s">
        <v>76</v>
      </c>
      <c r="C74" s="2" t="s">
        <v>51</v>
      </c>
      <c r="D74" s="22" t="s">
        <v>73</v>
      </c>
      <c r="E74" s="62" t="s">
        <v>3</v>
      </c>
      <c r="F74" s="2" t="s">
        <v>33</v>
      </c>
      <c r="G74" s="31" t="s">
        <v>48</v>
      </c>
      <c r="H74" s="2" t="s">
        <v>35</v>
      </c>
      <c r="I74" s="44" t="s">
        <v>74</v>
      </c>
      <c r="J74" s="2" t="s">
        <v>37</v>
      </c>
      <c r="K74" s="7">
        <v>300000</v>
      </c>
      <c r="L74" s="5">
        <v>72676980</v>
      </c>
      <c r="M74" s="5">
        <v>245096958</v>
      </c>
      <c r="N74" s="8">
        <v>1.058712001459599E-2</v>
      </c>
      <c r="O74" s="5">
        <v>1825431</v>
      </c>
      <c r="P74" s="7"/>
      <c r="Q74" s="9">
        <v>0.16434474926743331</v>
      </c>
      <c r="R74" s="2">
        <v>1.43</v>
      </c>
      <c r="S74" s="5">
        <v>209790.2097902098</v>
      </c>
      <c r="T74" s="5">
        <v>0</v>
      </c>
      <c r="U74" s="5">
        <v>0</v>
      </c>
      <c r="V74" s="5">
        <v>0</v>
      </c>
      <c r="W74" s="5">
        <v>300000</v>
      </c>
      <c r="X74" s="5">
        <v>0</v>
      </c>
      <c r="Y74" s="5">
        <v>0</v>
      </c>
      <c r="Z74" s="5">
        <v>0</v>
      </c>
      <c r="AA74" s="3">
        <v>0</v>
      </c>
      <c r="AB74" s="3">
        <v>0</v>
      </c>
      <c r="AC74" s="3">
        <v>0</v>
      </c>
      <c r="AD74" s="29">
        <v>0</v>
      </c>
    </row>
    <row r="75" spans="1:30" x14ac:dyDescent="0.25">
      <c r="A75" s="47" t="s">
        <v>77</v>
      </c>
      <c r="B75" s="47" t="s">
        <v>78</v>
      </c>
      <c r="C75" s="2" t="s">
        <v>51</v>
      </c>
      <c r="D75" s="22" t="s">
        <v>73</v>
      </c>
      <c r="E75" s="53" t="s">
        <v>535</v>
      </c>
      <c r="F75" s="2" t="s">
        <v>41</v>
      </c>
      <c r="G75" s="31" t="s">
        <v>34</v>
      </c>
      <c r="H75" s="2" t="s">
        <v>35</v>
      </c>
      <c r="I75" s="44" t="s">
        <v>74</v>
      </c>
      <c r="J75" s="2" t="s">
        <v>37</v>
      </c>
      <c r="K75" s="7">
        <v>600000</v>
      </c>
      <c r="L75" s="5">
        <v>676111353</v>
      </c>
      <c r="M75" s="5">
        <v>84628058</v>
      </c>
      <c r="N75" s="8">
        <v>0.17539569999999999</v>
      </c>
      <c r="O75" s="5">
        <v>2252556</v>
      </c>
      <c r="P75" s="7">
        <v>727854.88341374998</v>
      </c>
      <c r="Q75" s="9">
        <v>0.26636407707510928</v>
      </c>
      <c r="R75" s="2">
        <v>1.43</v>
      </c>
      <c r="S75" s="5">
        <v>419580.41958041961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600000</v>
      </c>
      <c r="Z75" s="5">
        <v>0</v>
      </c>
      <c r="AA75" s="3">
        <v>0</v>
      </c>
      <c r="AB75" s="3">
        <v>0</v>
      </c>
      <c r="AC75" s="3">
        <v>0</v>
      </c>
      <c r="AD75" s="29">
        <v>0</v>
      </c>
    </row>
    <row r="76" spans="1:30" x14ac:dyDescent="0.25">
      <c r="A76" s="47" t="s">
        <v>79</v>
      </c>
      <c r="B76" s="47" t="s">
        <v>80</v>
      </c>
      <c r="C76" s="2" t="s">
        <v>51</v>
      </c>
      <c r="D76" s="22" t="s">
        <v>73</v>
      </c>
      <c r="E76" s="53" t="s">
        <v>535</v>
      </c>
      <c r="F76" s="2" t="s">
        <v>41</v>
      </c>
      <c r="G76" s="31" t="s">
        <v>48</v>
      </c>
      <c r="H76" s="2" t="s">
        <v>35</v>
      </c>
      <c r="I76" s="44" t="s">
        <v>74</v>
      </c>
      <c r="J76" s="2" t="s">
        <v>37</v>
      </c>
      <c r="K76" s="7">
        <v>400000</v>
      </c>
      <c r="L76" s="5">
        <v>72676980</v>
      </c>
      <c r="M76" s="5">
        <v>208991333</v>
      </c>
      <c r="N76" s="8">
        <v>1.429824E-2</v>
      </c>
      <c r="O76" s="5">
        <v>1949055</v>
      </c>
      <c r="P76" s="5"/>
      <c r="Q76" s="9">
        <v>0.20522766161037009</v>
      </c>
      <c r="R76" s="2">
        <v>1.43</v>
      </c>
      <c r="S76" s="5">
        <v>279720.27972027968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400000</v>
      </c>
      <c r="Z76" s="5">
        <v>0</v>
      </c>
      <c r="AA76" s="3">
        <v>0</v>
      </c>
      <c r="AB76" s="3">
        <v>0</v>
      </c>
      <c r="AC76" s="3">
        <v>0</v>
      </c>
      <c r="AD76" s="29">
        <v>0</v>
      </c>
    </row>
    <row r="77" spans="1:30" x14ac:dyDescent="0.25">
      <c r="A77" s="47" t="s">
        <v>81</v>
      </c>
      <c r="B77" s="47" t="s">
        <v>82</v>
      </c>
      <c r="C77" s="2" t="s">
        <v>51</v>
      </c>
      <c r="D77" s="22" t="s">
        <v>73</v>
      </c>
      <c r="E77" s="64" t="s">
        <v>534</v>
      </c>
      <c r="F77" s="2" t="s">
        <v>41</v>
      </c>
      <c r="G77" s="31" t="s">
        <v>48</v>
      </c>
      <c r="H77" s="2" t="s">
        <v>35</v>
      </c>
      <c r="I77" s="44" t="s">
        <v>74</v>
      </c>
      <c r="J77" s="2" t="s">
        <v>37</v>
      </c>
      <c r="K77" s="7">
        <v>400000</v>
      </c>
      <c r="L77" s="5">
        <v>72676980</v>
      </c>
      <c r="M77" s="5">
        <v>232628624</v>
      </c>
      <c r="N77" s="8">
        <v>1.411616000645795E-2</v>
      </c>
      <c r="O77" s="5">
        <v>2257903</v>
      </c>
      <c r="P77" s="5"/>
      <c r="Q77" s="9">
        <v>0.17715552882475469</v>
      </c>
      <c r="R77" s="2">
        <v>1.43</v>
      </c>
      <c r="S77" s="5">
        <v>279720.27972027968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400000</v>
      </c>
      <c r="AA77" s="3">
        <v>0</v>
      </c>
      <c r="AB77" s="3">
        <v>0</v>
      </c>
      <c r="AC77" s="3">
        <v>0</v>
      </c>
      <c r="AD77" s="29">
        <v>0</v>
      </c>
    </row>
    <row r="78" spans="1:30" x14ac:dyDescent="0.25">
      <c r="A78" s="47" t="s">
        <v>83</v>
      </c>
      <c r="B78" s="47" t="s">
        <v>84</v>
      </c>
      <c r="C78" s="2" t="s">
        <v>51</v>
      </c>
      <c r="D78" s="22" t="s">
        <v>85</v>
      </c>
      <c r="E78" s="64" t="s">
        <v>534</v>
      </c>
      <c r="F78" s="2" t="s">
        <v>41</v>
      </c>
      <c r="G78" s="31" t="s">
        <v>34</v>
      </c>
      <c r="H78" s="2" t="s">
        <v>35</v>
      </c>
      <c r="I78" s="44" t="s">
        <v>74</v>
      </c>
      <c r="J78" s="2" t="s">
        <v>37</v>
      </c>
      <c r="K78" s="7">
        <v>385000</v>
      </c>
      <c r="L78" s="5">
        <v>31623200</v>
      </c>
      <c r="M78" s="5">
        <v>60814720</v>
      </c>
      <c r="N78" s="8">
        <v>9.6210000000000004E-2</v>
      </c>
      <c r="O78" s="5">
        <v>2808516</v>
      </c>
      <c r="P78" s="5"/>
      <c r="Q78" s="9">
        <v>0.19227236020731231</v>
      </c>
      <c r="R78" s="2">
        <v>1.43</v>
      </c>
      <c r="S78" s="5">
        <v>377622.37762237771</v>
      </c>
      <c r="T78" s="5">
        <v>0</v>
      </c>
      <c r="U78" s="5">
        <v>380000</v>
      </c>
      <c r="V78" s="5">
        <v>0</v>
      </c>
      <c r="W78" s="5">
        <v>0</v>
      </c>
      <c r="X78" s="5">
        <v>0</v>
      </c>
      <c r="Y78" s="5">
        <v>0</v>
      </c>
      <c r="Z78" s="5">
        <v>5000</v>
      </c>
      <c r="AA78" s="3">
        <v>0</v>
      </c>
      <c r="AB78" s="3">
        <v>0</v>
      </c>
      <c r="AC78" s="3">
        <v>0</v>
      </c>
      <c r="AD78" s="29">
        <v>0</v>
      </c>
    </row>
    <row r="79" spans="1:30" x14ac:dyDescent="0.25">
      <c r="A79" s="47" t="s">
        <v>86</v>
      </c>
      <c r="B79" s="47" t="s">
        <v>87</v>
      </c>
      <c r="C79" s="2" t="s">
        <v>51</v>
      </c>
      <c r="D79" s="22" t="s">
        <v>85</v>
      </c>
      <c r="E79" s="64" t="s">
        <v>534</v>
      </c>
      <c r="F79" s="2" t="s">
        <v>41</v>
      </c>
      <c r="G79" s="31" t="s">
        <v>34</v>
      </c>
      <c r="H79" s="2" t="s">
        <v>35</v>
      </c>
      <c r="I79" s="44" t="s">
        <v>74</v>
      </c>
      <c r="J79" s="2" t="s">
        <v>37</v>
      </c>
      <c r="K79" s="7">
        <v>385000</v>
      </c>
      <c r="L79" s="5">
        <v>13019160</v>
      </c>
      <c r="M79" s="5">
        <v>27184842</v>
      </c>
      <c r="N79" s="8">
        <v>0.2346</v>
      </c>
      <c r="O79" s="5">
        <v>3323269</v>
      </c>
      <c r="P79" s="5"/>
      <c r="Q79" s="9">
        <v>0.1384179252416822</v>
      </c>
      <c r="R79" s="2">
        <v>1.43</v>
      </c>
      <c r="S79" s="5">
        <v>321678.32167832169</v>
      </c>
      <c r="T79" s="5">
        <v>0</v>
      </c>
      <c r="U79" s="5">
        <v>380000</v>
      </c>
      <c r="V79" s="5">
        <v>0</v>
      </c>
      <c r="W79" s="5">
        <v>0</v>
      </c>
      <c r="X79" s="5">
        <v>0</v>
      </c>
      <c r="Y79" s="5">
        <v>0</v>
      </c>
      <c r="Z79" s="5">
        <v>5000</v>
      </c>
      <c r="AA79" s="3">
        <v>0</v>
      </c>
      <c r="AB79" s="3">
        <v>0</v>
      </c>
      <c r="AC79" s="3">
        <v>0</v>
      </c>
      <c r="AD79" s="29">
        <v>0</v>
      </c>
    </row>
    <row r="80" spans="1:30" x14ac:dyDescent="0.25">
      <c r="A80" s="47" t="s">
        <v>88</v>
      </c>
      <c r="B80" s="47" t="s">
        <v>89</v>
      </c>
      <c r="C80" s="2" t="s">
        <v>51</v>
      </c>
      <c r="D80" s="22" t="s">
        <v>85</v>
      </c>
      <c r="E80" s="53" t="s">
        <v>535</v>
      </c>
      <c r="F80" s="2" t="s">
        <v>41</v>
      </c>
      <c r="G80" s="31" t="s">
        <v>34</v>
      </c>
      <c r="H80" s="2" t="s">
        <v>35</v>
      </c>
      <c r="I80" s="44" t="s">
        <v>74</v>
      </c>
      <c r="J80" s="2" t="s">
        <v>37</v>
      </c>
      <c r="K80" s="7">
        <v>532229</v>
      </c>
      <c r="L80" s="5">
        <v>9116800</v>
      </c>
      <c r="M80" s="5">
        <v>32272761</v>
      </c>
      <c r="N80" s="8">
        <v>0.11890249999999999</v>
      </c>
      <c r="O80" s="5">
        <v>2753302</v>
      </c>
      <c r="P80" s="5"/>
      <c r="Q80" s="9">
        <v>0.19330571074295519</v>
      </c>
      <c r="R80" s="2">
        <v>1.43</v>
      </c>
      <c r="S80" s="5">
        <v>372188.11188811192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532229</v>
      </c>
      <c r="Z80" s="5">
        <v>0</v>
      </c>
      <c r="AA80" s="3">
        <v>0</v>
      </c>
      <c r="AB80" s="3">
        <v>0</v>
      </c>
      <c r="AC80" s="3">
        <v>0</v>
      </c>
      <c r="AD80" s="29">
        <v>0</v>
      </c>
    </row>
    <row r="81" spans="1:50" x14ac:dyDescent="0.25">
      <c r="A81" s="47" t="s">
        <v>90</v>
      </c>
      <c r="B81" s="47" t="s">
        <v>91</v>
      </c>
      <c r="C81" s="2" t="s">
        <v>51</v>
      </c>
      <c r="D81" s="22" t="s">
        <v>85</v>
      </c>
      <c r="E81" s="53" t="s">
        <v>535</v>
      </c>
      <c r="F81" s="2" t="s">
        <v>41</v>
      </c>
      <c r="G81" s="31" t="s">
        <v>34</v>
      </c>
      <c r="H81" s="2" t="s">
        <v>35</v>
      </c>
      <c r="I81" s="44" t="s">
        <v>74</v>
      </c>
      <c r="J81" s="2" t="s">
        <v>37</v>
      </c>
      <c r="K81" s="5">
        <v>399172</v>
      </c>
      <c r="L81" s="5">
        <v>17417640</v>
      </c>
      <c r="M81" s="5">
        <v>33734417</v>
      </c>
      <c r="N81" s="8">
        <v>0.12655540000000001</v>
      </c>
      <c r="O81" s="5">
        <v>2064976</v>
      </c>
      <c r="P81" s="5"/>
      <c r="Q81" s="9">
        <v>0.19330587861553841</v>
      </c>
      <c r="R81" s="2">
        <v>1.43</v>
      </c>
      <c r="S81" s="5">
        <v>279141.25874125882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399172</v>
      </c>
      <c r="Z81" s="5">
        <v>0</v>
      </c>
      <c r="AA81" s="3">
        <v>0</v>
      </c>
      <c r="AB81" s="3">
        <v>0</v>
      </c>
      <c r="AC81" s="3">
        <v>0</v>
      </c>
      <c r="AD81" s="29">
        <v>0</v>
      </c>
    </row>
    <row r="82" spans="1:50" x14ac:dyDescent="0.25">
      <c r="A82" s="47" t="s">
        <v>92</v>
      </c>
      <c r="B82" s="47" t="s">
        <v>93</v>
      </c>
      <c r="C82" s="2" t="s">
        <v>51</v>
      </c>
      <c r="D82" s="22" t="s">
        <v>85</v>
      </c>
      <c r="E82" s="53" t="s">
        <v>535</v>
      </c>
      <c r="F82" s="2" t="s">
        <v>41</v>
      </c>
      <c r="G82" s="31" t="s">
        <v>34</v>
      </c>
      <c r="H82" s="2" t="s">
        <v>35</v>
      </c>
      <c r="I82" s="44" t="s">
        <v>74</v>
      </c>
      <c r="J82" s="2" t="s">
        <v>37</v>
      </c>
      <c r="K82" s="5">
        <v>266114</v>
      </c>
      <c r="L82" s="5">
        <v>36349240</v>
      </c>
      <c r="M82" s="5">
        <v>66852951</v>
      </c>
      <c r="N82" s="8">
        <v>4.51306E-2</v>
      </c>
      <c r="O82" s="5">
        <v>1376651</v>
      </c>
      <c r="P82" s="5"/>
      <c r="Q82" s="9">
        <v>0.19330534754269599</v>
      </c>
      <c r="R82" s="2">
        <v>1.43</v>
      </c>
      <c r="S82" s="5">
        <v>186093.70629370629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266114</v>
      </c>
      <c r="Z82" s="5">
        <v>0</v>
      </c>
      <c r="AA82" s="3">
        <v>0</v>
      </c>
      <c r="AB82" s="3">
        <v>0</v>
      </c>
      <c r="AC82" s="3">
        <v>0</v>
      </c>
      <c r="AD82" s="29">
        <v>0</v>
      </c>
    </row>
    <row r="83" spans="1:50" x14ac:dyDescent="0.25">
      <c r="A83" s="47" t="s">
        <v>94</v>
      </c>
      <c r="B83" s="47" t="s">
        <v>95</v>
      </c>
      <c r="C83" s="2" t="s">
        <v>51</v>
      </c>
      <c r="D83" s="22" t="s">
        <v>85</v>
      </c>
      <c r="E83" s="53" t="s">
        <v>535</v>
      </c>
      <c r="F83" s="2" t="s">
        <v>41</v>
      </c>
      <c r="G83" s="31" t="s">
        <v>34</v>
      </c>
      <c r="H83" s="2" t="s">
        <v>35</v>
      </c>
      <c r="I83" s="44" t="s">
        <v>74</v>
      </c>
      <c r="J83" s="2" t="s">
        <v>37</v>
      </c>
      <c r="K83" s="5">
        <v>133057</v>
      </c>
      <c r="L83" s="5">
        <v>14786460</v>
      </c>
      <c r="M83" s="5">
        <v>25418971</v>
      </c>
      <c r="N83" s="8">
        <v>6.4737799999999998E-2</v>
      </c>
      <c r="O83" s="5">
        <v>688325</v>
      </c>
      <c r="P83" s="5"/>
      <c r="Q83" s="9">
        <v>0.19330548795990271</v>
      </c>
      <c r="R83" s="2">
        <v>1.43</v>
      </c>
      <c r="S83" s="5">
        <v>93046.853146853144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133057</v>
      </c>
      <c r="Z83" s="5">
        <v>0</v>
      </c>
      <c r="AA83" s="3">
        <v>0</v>
      </c>
      <c r="AB83" s="3">
        <v>0</v>
      </c>
      <c r="AC83" s="3">
        <v>0</v>
      </c>
      <c r="AD83" s="29">
        <v>0</v>
      </c>
    </row>
    <row r="84" spans="1:50" x14ac:dyDescent="0.25">
      <c r="A84" s="47" t="s">
        <v>96</v>
      </c>
      <c r="B84" s="47" t="s">
        <v>97</v>
      </c>
      <c r="C84" s="2" t="s">
        <v>51</v>
      </c>
      <c r="D84" s="22" t="s">
        <v>98</v>
      </c>
      <c r="E84" s="64" t="s">
        <v>534</v>
      </c>
      <c r="F84" s="2" t="s">
        <v>41</v>
      </c>
      <c r="G84" s="31" t="s">
        <v>34</v>
      </c>
      <c r="H84" s="2" t="s">
        <v>35</v>
      </c>
      <c r="I84" s="44" t="s">
        <v>74</v>
      </c>
      <c r="J84" s="2" t="s">
        <v>37</v>
      </c>
      <c r="K84" s="5">
        <v>614617</v>
      </c>
      <c r="L84" s="5">
        <v>55850340</v>
      </c>
      <c r="M84" s="5">
        <v>88962923</v>
      </c>
      <c r="N84" s="8">
        <v>9.06E-2</v>
      </c>
      <c r="O84" s="5">
        <v>3000000</v>
      </c>
      <c r="P84" s="5"/>
      <c r="Q84" s="9">
        <v>0.2048723333333333</v>
      </c>
      <c r="R84" s="2">
        <v>1.43</v>
      </c>
      <c r="S84" s="5">
        <v>429802.09790209791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614617</v>
      </c>
      <c r="AA84" s="3">
        <v>0</v>
      </c>
      <c r="AB84" s="3">
        <v>0</v>
      </c>
      <c r="AC84" s="3">
        <v>0</v>
      </c>
      <c r="AD84" s="29">
        <v>0</v>
      </c>
    </row>
    <row r="85" spans="1:50" x14ac:dyDescent="0.25">
      <c r="A85" s="47" t="s">
        <v>99</v>
      </c>
      <c r="B85" s="47" t="s">
        <v>100</v>
      </c>
      <c r="C85" s="2" t="s">
        <v>51</v>
      </c>
      <c r="D85" s="22" t="s">
        <v>98</v>
      </c>
      <c r="E85" s="62" t="s">
        <v>3</v>
      </c>
      <c r="F85" s="2" t="s">
        <v>33</v>
      </c>
      <c r="G85" s="31" t="s">
        <v>34</v>
      </c>
      <c r="H85" s="2" t="s">
        <v>35</v>
      </c>
      <c r="I85" s="44" t="s">
        <v>74</v>
      </c>
      <c r="J85" s="2" t="s">
        <v>37</v>
      </c>
      <c r="K85" s="5">
        <v>797800</v>
      </c>
      <c r="L85" s="5">
        <v>42471672</v>
      </c>
      <c r="M85" s="5">
        <v>82794253</v>
      </c>
      <c r="N85" s="8">
        <v>7.4399999999999994E-2</v>
      </c>
      <c r="O85" s="5">
        <v>3000000</v>
      </c>
      <c r="P85" s="5"/>
      <c r="Q85" s="9">
        <v>0.26593333333333341</v>
      </c>
      <c r="R85" s="2">
        <v>1.43</v>
      </c>
      <c r="S85" s="5">
        <v>557902.09790209797</v>
      </c>
      <c r="T85" s="5">
        <v>250000</v>
      </c>
      <c r="U85" s="5">
        <v>297800</v>
      </c>
      <c r="V85" s="5">
        <v>250000</v>
      </c>
      <c r="W85" s="5">
        <v>0</v>
      </c>
      <c r="X85" s="5">
        <v>0</v>
      </c>
      <c r="Y85" s="5">
        <v>0</v>
      </c>
      <c r="Z85" s="5">
        <v>0</v>
      </c>
      <c r="AA85" s="3">
        <v>0</v>
      </c>
      <c r="AB85" s="3">
        <v>0</v>
      </c>
      <c r="AC85" s="3">
        <v>0</v>
      </c>
      <c r="AD85" s="29">
        <v>0</v>
      </c>
    </row>
    <row r="86" spans="1:50" x14ac:dyDescent="0.25">
      <c r="A86" s="47" t="s">
        <v>101</v>
      </c>
      <c r="B86" s="47" t="s">
        <v>102</v>
      </c>
      <c r="C86" s="2" t="s">
        <v>51</v>
      </c>
      <c r="D86" s="22" t="s">
        <v>98</v>
      </c>
      <c r="E86" s="62" t="s">
        <v>3</v>
      </c>
      <c r="F86" s="2" t="s">
        <v>33</v>
      </c>
      <c r="G86" s="2" t="s">
        <v>616</v>
      </c>
      <c r="H86" s="2" t="s">
        <v>103</v>
      </c>
      <c r="I86" s="44" t="s">
        <v>74</v>
      </c>
      <c r="J86" s="2" t="s">
        <v>37</v>
      </c>
      <c r="K86" s="5">
        <v>1547688</v>
      </c>
      <c r="L86" s="5">
        <v>169995289</v>
      </c>
      <c r="M86" s="5">
        <v>2266769483</v>
      </c>
      <c r="N86" s="8">
        <v>3.0999999999999999E-3</v>
      </c>
      <c r="O86" s="5">
        <v>6500000</v>
      </c>
      <c r="P86" s="5"/>
      <c r="Q86" s="9">
        <v>0.23810584615384611</v>
      </c>
      <c r="R86" s="2">
        <v>1.65</v>
      </c>
      <c r="S86" s="5">
        <v>937992.72727272729</v>
      </c>
      <c r="T86" s="5">
        <v>0</v>
      </c>
      <c r="U86" s="5">
        <v>0</v>
      </c>
      <c r="V86" s="5">
        <v>247688</v>
      </c>
      <c r="W86" s="5">
        <v>1300000</v>
      </c>
      <c r="X86" s="5">
        <v>0</v>
      </c>
      <c r="Y86" s="5">
        <v>0</v>
      </c>
      <c r="Z86" s="5">
        <v>0</v>
      </c>
      <c r="AA86" s="3">
        <v>0</v>
      </c>
      <c r="AB86" s="3">
        <v>0</v>
      </c>
      <c r="AC86" s="3">
        <v>0</v>
      </c>
      <c r="AD86" s="29">
        <v>0</v>
      </c>
    </row>
    <row r="87" spans="1:50" x14ac:dyDescent="0.25">
      <c r="A87" s="47" t="s">
        <v>104</v>
      </c>
      <c r="B87" s="47" t="s">
        <v>105</v>
      </c>
      <c r="C87" s="2" t="s">
        <v>51</v>
      </c>
      <c r="D87" s="22" t="s">
        <v>98</v>
      </c>
      <c r="E87" s="64" t="s">
        <v>534</v>
      </c>
      <c r="F87" s="2" t="s">
        <v>41</v>
      </c>
      <c r="G87" s="2" t="s">
        <v>616</v>
      </c>
      <c r="H87" s="2" t="s">
        <v>103</v>
      </c>
      <c r="I87" s="44" t="s">
        <v>74</v>
      </c>
      <c r="J87" s="2" t="s">
        <v>37</v>
      </c>
      <c r="K87" s="5">
        <v>502117</v>
      </c>
      <c r="L87" s="5">
        <v>239274402</v>
      </c>
      <c r="M87" s="5">
        <v>2486980824</v>
      </c>
      <c r="N87" s="8">
        <v>1.09E-3</v>
      </c>
      <c r="O87" s="5">
        <v>2450000</v>
      </c>
      <c r="P87" s="5"/>
      <c r="Q87" s="9">
        <v>0.20494571428571429</v>
      </c>
      <c r="R87" s="2">
        <v>1.65</v>
      </c>
      <c r="S87" s="5">
        <v>304313.33333333337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502117</v>
      </c>
      <c r="AA87" s="3">
        <v>0</v>
      </c>
      <c r="AB87" s="3">
        <v>0</v>
      </c>
      <c r="AC87" s="3">
        <v>0</v>
      </c>
      <c r="AD87" s="29">
        <v>0</v>
      </c>
    </row>
    <row r="88" spans="1:50" x14ac:dyDescent="0.25">
      <c r="A88" s="47" t="s">
        <v>106</v>
      </c>
      <c r="B88" s="47" t="s">
        <v>107</v>
      </c>
      <c r="C88" s="2" t="s">
        <v>51</v>
      </c>
      <c r="D88" s="22" t="s">
        <v>98</v>
      </c>
      <c r="E88" s="53" t="s">
        <v>535</v>
      </c>
      <c r="F88" s="2" t="s">
        <v>41</v>
      </c>
      <c r="G88" s="2" t="s">
        <v>616</v>
      </c>
      <c r="H88" s="2" t="s">
        <v>103</v>
      </c>
      <c r="I88" s="44" t="s">
        <v>74</v>
      </c>
      <c r="J88" s="2" t="s">
        <v>37</v>
      </c>
      <c r="K88" s="5">
        <v>773844</v>
      </c>
      <c r="L88" s="5">
        <v>169995289</v>
      </c>
      <c r="M88" s="5">
        <v>2214389852</v>
      </c>
      <c r="N88" s="8">
        <v>1.5499999999999999E-3</v>
      </c>
      <c r="O88" s="5">
        <v>3250000</v>
      </c>
      <c r="P88" s="5"/>
      <c r="Q88" s="9">
        <v>0.23810584615384611</v>
      </c>
      <c r="R88" s="2">
        <v>1.65</v>
      </c>
      <c r="S88" s="5">
        <v>468996.36363636359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773844</v>
      </c>
      <c r="Z88" s="5">
        <v>0</v>
      </c>
      <c r="AA88" s="3">
        <v>0</v>
      </c>
      <c r="AB88" s="3">
        <v>0</v>
      </c>
      <c r="AC88" s="3">
        <v>0</v>
      </c>
      <c r="AD88" s="29">
        <v>0</v>
      </c>
    </row>
    <row r="89" spans="1:50" x14ac:dyDescent="0.25">
      <c r="A89" s="47" t="s">
        <v>108</v>
      </c>
      <c r="B89" s="47" t="s">
        <v>109</v>
      </c>
      <c r="C89" s="2" t="s">
        <v>51</v>
      </c>
      <c r="D89" s="22" t="s">
        <v>110</v>
      </c>
      <c r="E89" s="53" t="s">
        <v>536</v>
      </c>
      <c r="F89" s="2" t="s">
        <v>41</v>
      </c>
      <c r="G89" s="31" t="s">
        <v>34</v>
      </c>
      <c r="H89" s="2" t="s">
        <v>35</v>
      </c>
      <c r="I89" s="44" t="s">
        <v>74</v>
      </c>
      <c r="J89" s="2" t="s">
        <v>37</v>
      </c>
      <c r="K89" s="5">
        <v>500000</v>
      </c>
      <c r="L89" s="5">
        <v>45765531</v>
      </c>
      <c r="M89" s="5">
        <v>122323818</v>
      </c>
      <c r="N89" s="8">
        <v>1.8954450000000001E-2</v>
      </c>
      <c r="O89" s="5">
        <v>1451120</v>
      </c>
      <c r="P89" s="5"/>
      <c r="Q89" s="9">
        <v>0.34456144219637252</v>
      </c>
      <c r="R89" s="2">
        <v>1.43</v>
      </c>
      <c r="S89" s="5">
        <v>349650.34965034958</v>
      </c>
      <c r="T89" s="5">
        <v>0</v>
      </c>
      <c r="U89" s="5">
        <v>250000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3">
        <v>0</v>
      </c>
      <c r="AB89" s="3">
        <v>0</v>
      </c>
      <c r="AC89" s="3">
        <v>0</v>
      </c>
      <c r="AD89" s="29">
        <v>250000</v>
      </c>
      <c r="AE89" s="26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10"/>
      <c r="AT89" s="10"/>
      <c r="AU89" s="10"/>
      <c r="AV89" s="10"/>
      <c r="AW89" s="10"/>
      <c r="AX89" s="11"/>
    </row>
    <row r="90" spans="1:50" s="1" customFormat="1" x14ac:dyDescent="0.25">
      <c r="A90" s="66" t="s">
        <v>111</v>
      </c>
      <c r="B90" s="66" t="s">
        <v>112</v>
      </c>
      <c r="C90" s="4" t="s">
        <v>51</v>
      </c>
      <c r="D90" s="67" t="s">
        <v>113</v>
      </c>
      <c r="E90" s="62" t="s">
        <v>3</v>
      </c>
      <c r="F90" s="4" t="s">
        <v>33</v>
      </c>
      <c r="G90" s="31" t="s">
        <v>34</v>
      </c>
      <c r="H90" s="4" t="s">
        <v>35</v>
      </c>
      <c r="I90" s="44" t="s">
        <v>74</v>
      </c>
      <c r="J90" s="4" t="s">
        <v>37</v>
      </c>
      <c r="K90" s="5">
        <v>400000</v>
      </c>
      <c r="L90" s="5">
        <v>9099209</v>
      </c>
      <c r="M90" s="5">
        <v>14202983</v>
      </c>
      <c r="N90" s="8">
        <v>0.32969112660552757</v>
      </c>
      <c r="O90" s="5">
        <v>1682669</v>
      </c>
      <c r="P90" s="7">
        <v>750295</v>
      </c>
      <c r="Q90" s="12">
        <v>0.2377175784423437</v>
      </c>
      <c r="R90" s="4">
        <v>1.43</v>
      </c>
      <c r="S90" s="7">
        <v>279720.27972027968</v>
      </c>
      <c r="T90" s="5">
        <v>0</v>
      </c>
      <c r="U90" s="5">
        <v>0</v>
      </c>
      <c r="V90" s="5">
        <v>500000</v>
      </c>
      <c r="W90" s="5">
        <v>0</v>
      </c>
      <c r="X90" s="5">
        <v>0</v>
      </c>
      <c r="Y90" s="5">
        <v>0</v>
      </c>
      <c r="Z90" s="5">
        <v>0</v>
      </c>
      <c r="AA90" s="3">
        <v>0</v>
      </c>
      <c r="AB90" s="3">
        <v>0</v>
      </c>
      <c r="AC90" s="3">
        <v>0</v>
      </c>
      <c r="AD90" s="29">
        <v>0</v>
      </c>
      <c r="AE90" s="26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10"/>
      <c r="AT90" s="10"/>
      <c r="AU90" s="10"/>
      <c r="AV90" s="10"/>
      <c r="AW90" s="10"/>
      <c r="AX90" s="11"/>
    </row>
    <row r="91" spans="1:50" x14ac:dyDescent="0.25">
      <c r="A91" s="47" t="s">
        <v>114</v>
      </c>
      <c r="B91" s="47" t="s">
        <v>115</v>
      </c>
      <c r="C91" s="2" t="s">
        <v>51</v>
      </c>
      <c r="D91" s="22" t="s">
        <v>113</v>
      </c>
      <c r="E91" s="62" t="s">
        <v>3</v>
      </c>
      <c r="F91" s="2" t="s">
        <v>33</v>
      </c>
      <c r="G91" s="31" t="s">
        <v>34</v>
      </c>
      <c r="H91" s="2" t="s">
        <v>35</v>
      </c>
      <c r="I91" s="44" t="s">
        <v>74</v>
      </c>
      <c r="J91" s="2" t="s">
        <v>37</v>
      </c>
      <c r="K91" s="5">
        <v>100000</v>
      </c>
      <c r="L91" s="5">
        <v>15010720</v>
      </c>
      <c r="M91" s="5">
        <v>26221144</v>
      </c>
      <c r="N91" s="8">
        <v>4.3145999999999997E-2</v>
      </c>
      <c r="O91" s="5">
        <v>483685</v>
      </c>
      <c r="P91" s="5"/>
      <c r="Q91" s="9">
        <v>0.2067461260944623</v>
      </c>
      <c r="R91" s="2">
        <v>1.43</v>
      </c>
      <c r="S91" s="5">
        <v>69930.069930069934</v>
      </c>
      <c r="T91" s="5">
        <v>0</v>
      </c>
      <c r="U91" s="5">
        <v>0</v>
      </c>
      <c r="V91" s="5">
        <v>500000</v>
      </c>
      <c r="W91" s="5">
        <v>0</v>
      </c>
      <c r="X91" s="5">
        <v>0</v>
      </c>
      <c r="Y91" s="5">
        <v>0</v>
      </c>
      <c r="Z91" s="5">
        <v>0</v>
      </c>
      <c r="AA91" s="3">
        <v>0</v>
      </c>
      <c r="AB91" s="3">
        <v>0</v>
      </c>
      <c r="AC91" s="3">
        <v>0</v>
      </c>
      <c r="AD91" s="29">
        <v>0</v>
      </c>
      <c r="AE91" s="26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10"/>
      <c r="AT91" s="10"/>
      <c r="AU91" s="10"/>
      <c r="AV91" s="10"/>
      <c r="AW91" s="10"/>
      <c r="AX91" s="11"/>
    </row>
    <row r="92" spans="1:50" x14ac:dyDescent="0.25">
      <c r="A92" s="47" t="s">
        <v>116</v>
      </c>
      <c r="B92" s="47" t="s">
        <v>117</v>
      </c>
      <c r="C92" s="2" t="s">
        <v>51</v>
      </c>
      <c r="D92" s="22" t="s">
        <v>113</v>
      </c>
      <c r="E92" s="62" t="s">
        <v>3</v>
      </c>
      <c r="F92" s="2" t="s">
        <v>33</v>
      </c>
      <c r="G92" s="31" t="s">
        <v>34</v>
      </c>
      <c r="H92" s="2" t="s">
        <v>35</v>
      </c>
      <c r="I92" s="44" t="s">
        <v>74</v>
      </c>
      <c r="J92" s="2" t="s">
        <v>37</v>
      </c>
      <c r="K92" s="5">
        <v>800000</v>
      </c>
      <c r="L92" s="5">
        <v>6659002</v>
      </c>
      <c r="M92" s="5">
        <v>22648448</v>
      </c>
      <c r="N92" s="8">
        <v>0.23452970000000001</v>
      </c>
      <c r="O92" s="5">
        <v>3750000</v>
      </c>
      <c r="P92" s="5"/>
      <c r="Q92" s="9">
        <v>0.21333333333333329</v>
      </c>
      <c r="R92" s="2">
        <v>1.43</v>
      </c>
      <c r="S92" s="5">
        <v>559440.55944055947</v>
      </c>
      <c r="T92" s="5">
        <v>0</v>
      </c>
      <c r="U92" s="5">
        <v>0</v>
      </c>
      <c r="V92" s="5">
        <v>500000</v>
      </c>
      <c r="W92" s="5">
        <v>0</v>
      </c>
      <c r="X92" s="5">
        <v>0</v>
      </c>
      <c r="Y92" s="5">
        <v>0</v>
      </c>
      <c r="Z92" s="5">
        <v>0</v>
      </c>
      <c r="AA92" s="3">
        <v>0</v>
      </c>
      <c r="AB92" s="3">
        <v>0</v>
      </c>
      <c r="AC92" s="3">
        <v>0</v>
      </c>
      <c r="AD92" s="29">
        <v>0</v>
      </c>
      <c r="AE92" s="26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10"/>
      <c r="AT92" s="10"/>
      <c r="AU92" s="10"/>
      <c r="AV92" s="10"/>
      <c r="AW92" s="10"/>
      <c r="AX92" s="11"/>
    </row>
    <row r="93" spans="1:50" x14ac:dyDescent="0.25">
      <c r="A93" s="47" t="s">
        <v>118</v>
      </c>
      <c r="B93" s="47" t="s">
        <v>119</v>
      </c>
      <c r="C93" s="2" t="s">
        <v>51</v>
      </c>
      <c r="D93" s="22" t="s">
        <v>113</v>
      </c>
      <c r="E93" s="62" t="s">
        <v>3</v>
      </c>
      <c r="F93" s="2" t="s">
        <v>33</v>
      </c>
      <c r="G93" s="31" t="s">
        <v>34</v>
      </c>
      <c r="H93" s="2" t="s">
        <v>35</v>
      </c>
      <c r="I93" s="44" t="s">
        <v>74</v>
      </c>
      <c r="J93" s="2" t="s">
        <v>37</v>
      </c>
      <c r="K93" s="5">
        <v>700000</v>
      </c>
      <c r="L93" s="5">
        <v>20267169</v>
      </c>
      <c r="M93" s="5">
        <v>32761660</v>
      </c>
      <c r="N93" s="8">
        <v>0.218886</v>
      </c>
      <c r="O93" s="5">
        <v>2734869</v>
      </c>
      <c r="P93" s="7">
        <v>1135367</v>
      </c>
      <c r="Q93" s="9">
        <v>0.25595375866266362</v>
      </c>
      <c r="R93" s="2">
        <v>1.43</v>
      </c>
      <c r="S93" s="5">
        <v>489510.48951048951</v>
      </c>
      <c r="T93" s="5">
        <v>0</v>
      </c>
      <c r="U93" s="5">
        <v>0</v>
      </c>
      <c r="V93" s="5">
        <v>500000</v>
      </c>
      <c r="W93" s="5">
        <v>0</v>
      </c>
      <c r="X93" s="5">
        <v>0</v>
      </c>
      <c r="Y93" s="5">
        <v>0</v>
      </c>
      <c r="Z93" s="5">
        <v>0</v>
      </c>
      <c r="AA93" s="3">
        <v>0</v>
      </c>
      <c r="AB93" s="3">
        <v>0</v>
      </c>
      <c r="AC93" s="3">
        <v>0</v>
      </c>
      <c r="AD93" s="29">
        <v>0</v>
      </c>
      <c r="AE93" s="26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10"/>
      <c r="AT93" s="10"/>
      <c r="AU93" s="10"/>
      <c r="AV93" s="10"/>
      <c r="AW93" s="10"/>
      <c r="AX93" s="11"/>
    </row>
    <row r="94" spans="1:50" x14ac:dyDescent="0.25">
      <c r="A94" s="47" t="s">
        <v>120</v>
      </c>
      <c r="B94" s="47" t="s">
        <v>121</v>
      </c>
      <c r="C94" s="2" t="s">
        <v>51</v>
      </c>
      <c r="D94" s="22" t="s">
        <v>113</v>
      </c>
      <c r="E94" s="64" t="s">
        <v>534</v>
      </c>
      <c r="F94" s="2" t="s">
        <v>41</v>
      </c>
      <c r="G94" s="2" t="s">
        <v>616</v>
      </c>
      <c r="H94" s="2" t="s">
        <v>103</v>
      </c>
      <c r="I94" s="44" t="s">
        <v>74</v>
      </c>
      <c r="J94" s="2" t="s">
        <v>37</v>
      </c>
      <c r="K94" s="5">
        <v>350000</v>
      </c>
      <c r="L94" s="5">
        <v>161823775</v>
      </c>
      <c r="M94" s="5">
        <v>321804215</v>
      </c>
      <c r="N94" s="8">
        <v>1.9537700000000002E-2</v>
      </c>
      <c r="O94" s="5">
        <v>3125650</v>
      </c>
      <c r="P94" s="7">
        <v>3125650</v>
      </c>
      <c r="Q94" s="9">
        <v>0.1119767088445603</v>
      </c>
      <c r="R94" s="2">
        <v>1.65</v>
      </c>
      <c r="S94" s="5">
        <v>212121.2121212121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350000</v>
      </c>
      <c r="AA94" s="3">
        <v>0</v>
      </c>
      <c r="AB94" s="3">
        <v>0</v>
      </c>
      <c r="AC94" s="3">
        <v>0</v>
      </c>
      <c r="AD94" s="29">
        <v>0</v>
      </c>
      <c r="AE94" s="26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10"/>
      <c r="AT94" s="10"/>
      <c r="AU94" s="10"/>
      <c r="AV94" s="10"/>
      <c r="AW94" s="10"/>
      <c r="AX94" s="11"/>
    </row>
    <row r="95" spans="1:50" x14ac:dyDescent="0.25">
      <c r="A95" s="47" t="s">
        <v>122</v>
      </c>
      <c r="B95" s="47" t="s">
        <v>123</v>
      </c>
      <c r="C95" s="2" t="s">
        <v>51</v>
      </c>
      <c r="D95" s="22" t="s">
        <v>113</v>
      </c>
      <c r="E95" s="64" t="s">
        <v>534</v>
      </c>
      <c r="F95" s="2" t="s">
        <v>41</v>
      </c>
      <c r="G95" s="31" t="s">
        <v>34</v>
      </c>
      <c r="H95" s="2" t="s">
        <v>35</v>
      </c>
      <c r="I95" s="44" t="s">
        <v>74</v>
      </c>
      <c r="J95" s="2" t="s">
        <v>37</v>
      </c>
      <c r="K95" s="5">
        <v>250000</v>
      </c>
      <c r="L95" s="5">
        <v>9923084</v>
      </c>
      <c r="M95" s="5">
        <v>13438699</v>
      </c>
      <c r="N95" s="8">
        <v>0.29914200000000002</v>
      </c>
      <c r="O95" s="5">
        <v>1051668</v>
      </c>
      <c r="P95" s="5">
        <v>434318</v>
      </c>
      <c r="Q95" s="9">
        <v>0.2377176066971706</v>
      </c>
      <c r="R95" s="2">
        <v>1.43</v>
      </c>
      <c r="S95" s="5">
        <v>174825.17482517479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250000</v>
      </c>
      <c r="AA95" s="3">
        <v>0</v>
      </c>
      <c r="AB95" s="3">
        <v>0</v>
      </c>
      <c r="AC95" s="3">
        <v>0</v>
      </c>
      <c r="AD95" s="29">
        <v>0</v>
      </c>
      <c r="AE95" s="26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10"/>
      <c r="AT95" s="10"/>
      <c r="AU95" s="10"/>
      <c r="AV95" s="10"/>
      <c r="AW95" s="10"/>
      <c r="AX95" s="11"/>
    </row>
    <row r="96" spans="1:50" x14ac:dyDescent="0.25">
      <c r="A96" s="47" t="s">
        <v>124</v>
      </c>
      <c r="B96" s="47" t="s">
        <v>125</v>
      </c>
      <c r="C96" s="2" t="s">
        <v>51</v>
      </c>
      <c r="D96" s="22" t="s">
        <v>126</v>
      </c>
      <c r="E96" s="64" t="s">
        <v>534</v>
      </c>
      <c r="F96" s="2" t="s">
        <v>41</v>
      </c>
      <c r="G96" s="31" t="s">
        <v>34</v>
      </c>
      <c r="H96" s="2" t="s">
        <v>35</v>
      </c>
      <c r="I96" s="44" t="s">
        <v>74</v>
      </c>
      <c r="J96" s="2" t="s">
        <v>37</v>
      </c>
      <c r="K96" s="5">
        <v>400000</v>
      </c>
      <c r="L96" s="5">
        <v>35856664</v>
      </c>
      <c r="M96" s="5">
        <v>125212622</v>
      </c>
      <c r="N96" s="8">
        <v>2.7527699999999999</v>
      </c>
      <c r="O96" s="5">
        <v>2459764</v>
      </c>
      <c r="P96" s="5"/>
      <c r="Q96" s="9">
        <v>0.16261722669329251</v>
      </c>
      <c r="R96" s="2">
        <v>1.43</v>
      </c>
      <c r="S96" s="5">
        <v>279720.27972027968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400000</v>
      </c>
      <c r="AA96" s="3">
        <v>0</v>
      </c>
      <c r="AB96" s="3">
        <v>0</v>
      </c>
      <c r="AC96" s="3">
        <v>0</v>
      </c>
      <c r="AD96" s="29">
        <v>0</v>
      </c>
      <c r="AE96" s="26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10"/>
      <c r="AT96" s="10"/>
      <c r="AU96" s="10"/>
      <c r="AV96" s="10"/>
      <c r="AW96" s="10"/>
      <c r="AX96" s="11"/>
    </row>
    <row r="97" spans="1:50" s="1" customFormat="1" x14ac:dyDescent="0.25">
      <c r="A97" s="47" t="s">
        <v>127</v>
      </c>
      <c r="B97" s="47" t="s">
        <v>128</v>
      </c>
      <c r="C97" s="4" t="s">
        <v>51</v>
      </c>
      <c r="D97" s="67" t="s">
        <v>126</v>
      </c>
      <c r="E97" s="53" t="s">
        <v>536</v>
      </c>
      <c r="F97" s="4" t="s">
        <v>41</v>
      </c>
      <c r="G97" s="31" t="s">
        <v>34</v>
      </c>
      <c r="H97" s="4" t="s">
        <v>35</v>
      </c>
      <c r="I97" s="44" t="s">
        <v>74</v>
      </c>
      <c r="J97" s="4" t="s">
        <v>37</v>
      </c>
      <c r="K97" s="5">
        <v>500000</v>
      </c>
      <c r="L97" s="5">
        <v>27414200</v>
      </c>
      <c r="M97" s="5">
        <v>40874629</v>
      </c>
      <c r="N97" s="8">
        <v>0.7</v>
      </c>
      <c r="O97" s="5">
        <v>9422300</v>
      </c>
      <c r="P97" s="5"/>
      <c r="Q97" s="12">
        <v>4.245247975547372E-2</v>
      </c>
      <c r="R97" s="4">
        <v>1.43</v>
      </c>
      <c r="S97" s="7">
        <v>279720.27972027968</v>
      </c>
      <c r="T97" s="5">
        <v>0</v>
      </c>
      <c r="U97" s="5">
        <v>500000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3">
        <v>0</v>
      </c>
      <c r="AB97" s="3">
        <v>0</v>
      </c>
      <c r="AC97" s="3">
        <v>0</v>
      </c>
      <c r="AD97" s="29">
        <v>0</v>
      </c>
      <c r="AE97" s="26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10"/>
      <c r="AT97" s="10"/>
      <c r="AU97" s="10"/>
      <c r="AV97" s="10"/>
      <c r="AW97" s="10"/>
      <c r="AX97" s="11"/>
    </row>
    <row r="98" spans="1:50" x14ac:dyDescent="0.25">
      <c r="A98" s="47" t="s">
        <v>129</v>
      </c>
      <c r="B98" s="47" t="s">
        <v>130</v>
      </c>
      <c r="C98" s="2" t="s">
        <v>51</v>
      </c>
      <c r="D98" s="22" t="s">
        <v>131</v>
      </c>
      <c r="E98" s="62" t="s">
        <v>3</v>
      </c>
      <c r="F98" s="2" t="s">
        <v>33</v>
      </c>
      <c r="G98" s="2" t="s">
        <v>616</v>
      </c>
      <c r="H98" s="2" t="s">
        <v>103</v>
      </c>
      <c r="I98" s="44" t="s">
        <v>74</v>
      </c>
      <c r="J98" s="2" t="s">
        <v>37</v>
      </c>
      <c r="K98" s="5">
        <v>400000</v>
      </c>
      <c r="L98" s="5">
        <v>27414200</v>
      </c>
      <c r="M98" s="5">
        <v>40874629</v>
      </c>
      <c r="N98" s="8">
        <v>0.7</v>
      </c>
      <c r="O98" s="5">
        <v>9422300</v>
      </c>
      <c r="P98" s="5"/>
      <c r="Q98" s="9">
        <v>4.245247975547372E-2</v>
      </c>
      <c r="R98" s="2">
        <v>1.65</v>
      </c>
      <c r="S98" s="5">
        <v>242424.2424242424</v>
      </c>
      <c r="T98" s="5">
        <v>0</v>
      </c>
      <c r="U98" s="5">
        <v>0</v>
      </c>
      <c r="V98" s="5">
        <v>0</v>
      </c>
      <c r="W98" s="5">
        <v>400000</v>
      </c>
      <c r="X98" s="5">
        <v>0</v>
      </c>
      <c r="Y98" s="5">
        <v>0</v>
      </c>
      <c r="Z98" s="5">
        <v>0</v>
      </c>
      <c r="AA98" s="3">
        <v>0</v>
      </c>
      <c r="AB98" s="3">
        <v>0</v>
      </c>
      <c r="AC98" s="3">
        <v>0</v>
      </c>
      <c r="AD98" s="29">
        <v>0</v>
      </c>
      <c r="AE98" s="26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10"/>
      <c r="AT98" s="10"/>
      <c r="AU98" s="10"/>
      <c r="AV98" s="10"/>
      <c r="AW98" s="10"/>
      <c r="AX98" s="11"/>
    </row>
    <row r="99" spans="1:50" x14ac:dyDescent="0.25">
      <c r="A99" s="47" t="s">
        <v>132</v>
      </c>
      <c r="B99" s="47" t="s">
        <v>133</v>
      </c>
      <c r="C99" s="2" t="s">
        <v>51</v>
      </c>
      <c r="D99" s="22" t="s">
        <v>85</v>
      </c>
      <c r="E99" s="53" t="s">
        <v>536</v>
      </c>
      <c r="F99" s="2" t="s">
        <v>41</v>
      </c>
      <c r="G99" s="31" t="s">
        <v>34</v>
      </c>
      <c r="H99" s="2" t="s">
        <v>35</v>
      </c>
      <c r="I99" s="44" t="s">
        <v>74</v>
      </c>
      <c r="J99" s="2" t="s">
        <v>37</v>
      </c>
      <c r="K99" s="5">
        <v>500000</v>
      </c>
      <c r="L99" s="5">
        <v>14786460</v>
      </c>
      <c r="M99" s="5">
        <v>28995035</v>
      </c>
      <c r="N99" s="8">
        <v>0.21326149999999999</v>
      </c>
      <c r="O99" s="5">
        <v>3030142</v>
      </c>
      <c r="P99" s="5"/>
      <c r="Q99" s="9">
        <v>0.16500876856596161</v>
      </c>
      <c r="R99" s="2">
        <v>1.43</v>
      </c>
      <c r="S99" s="5">
        <v>349650.34965034958</v>
      </c>
      <c r="T99" s="5">
        <v>0</v>
      </c>
      <c r="U99" s="5">
        <v>500000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3">
        <v>0</v>
      </c>
      <c r="AB99" s="3">
        <v>0</v>
      </c>
      <c r="AC99" s="3">
        <v>0</v>
      </c>
      <c r="AD99" s="29">
        <v>0</v>
      </c>
      <c r="AE99" s="26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10"/>
      <c r="AT99" s="10"/>
      <c r="AU99" s="10"/>
      <c r="AV99" s="10"/>
      <c r="AW99" s="10"/>
      <c r="AX99" s="11"/>
    </row>
    <row r="100" spans="1:50" x14ac:dyDescent="0.25">
      <c r="A100" s="47" t="s">
        <v>134</v>
      </c>
      <c r="B100" s="47" t="s">
        <v>135</v>
      </c>
      <c r="C100" s="2" t="s">
        <v>51</v>
      </c>
      <c r="D100" s="22" t="s">
        <v>85</v>
      </c>
      <c r="E100" s="62" t="s">
        <v>3</v>
      </c>
      <c r="F100" s="2" t="s">
        <v>33</v>
      </c>
      <c r="G100" s="31" t="s">
        <v>34</v>
      </c>
      <c r="H100" s="2" t="s">
        <v>35</v>
      </c>
      <c r="I100" s="44" t="s">
        <v>74</v>
      </c>
      <c r="J100" s="2" t="s">
        <v>37</v>
      </c>
      <c r="K100" s="5">
        <v>750000</v>
      </c>
      <c r="L100" s="5">
        <v>9116800</v>
      </c>
      <c r="M100" s="5">
        <v>29009310</v>
      </c>
      <c r="N100" s="8">
        <v>0.18074570000000001</v>
      </c>
      <c r="O100" s="5">
        <v>3595486</v>
      </c>
      <c r="P100" s="5"/>
      <c r="Q100" s="9">
        <v>0.20859488814585839</v>
      </c>
      <c r="R100" s="2">
        <v>1.43</v>
      </c>
      <c r="S100" s="5">
        <v>524475.52447552455</v>
      </c>
      <c r="T100" s="5">
        <v>162500</v>
      </c>
      <c r="U100" s="5">
        <v>87500</v>
      </c>
      <c r="V100" s="5">
        <v>0</v>
      </c>
      <c r="W100" s="5">
        <v>350000</v>
      </c>
      <c r="X100" s="5">
        <v>0</v>
      </c>
      <c r="Y100" s="5">
        <v>0</v>
      </c>
      <c r="Z100" s="5">
        <v>0</v>
      </c>
      <c r="AA100" s="3">
        <v>150000</v>
      </c>
      <c r="AB100" s="3">
        <v>0</v>
      </c>
      <c r="AC100" s="3">
        <v>0</v>
      </c>
      <c r="AD100" s="29">
        <v>0</v>
      </c>
      <c r="AE100" s="26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10"/>
      <c r="AT100" s="10"/>
      <c r="AU100" s="10"/>
      <c r="AV100" s="10"/>
      <c r="AW100" s="10"/>
      <c r="AX100" s="11"/>
    </row>
    <row r="101" spans="1:50" x14ac:dyDescent="0.25">
      <c r="A101" s="47" t="s">
        <v>136</v>
      </c>
      <c r="B101" s="47" t="s">
        <v>137</v>
      </c>
      <c r="C101" s="2" t="s">
        <v>51</v>
      </c>
      <c r="D101" s="22" t="s">
        <v>85</v>
      </c>
      <c r="E101" s="62" t="s">
        <v>3</v>
      </c>
      <c r="F101" s="2" t="s">
        <v>33</v>
      </c>
      <c r="G101" s="31" t="s">
        <v>34</v>
      </c>
      <c r="H101" s="2" t="s">
        <v>35</v>
      </c>
      <c r="I101" s="44" t="s">
        <v>74</v>
      </c>
      <c r="J101" s="2" t="s">
        <v>37</v>
      </c>
      <c r="K101" s="5">
        <v>600000</v>
      </c>
      <c r="L101" s="5">
        <v>17417640</v>
      </c>
      <c r="M101" s="5">
        <v>19669482</v>
      </c>
      <c r="N101" s="8">
        <v>0.82454000000000005</v>
      </c>
      <c r="O101" s="5">
        <v>1856733</v>
      </c>
      <c r="P101" s="5"/>
      <c r="Q101" s="9">
        <v>0.32314823940760462</v>
      </c>
      <c r="R101" s="2">
        <v>1.43</v>
      </c>
      <c r="S101" s="5">
        <v>419580.41958041961</v>
      </c>
      <c r="T101" s="5">
        <v>162500</v>
      </c>
      <c r="U101" s="5">
        <v>87500</v>
      </c>
      <c r="V101" s="5">
        <v>0</v>
      </c>
      <c r="W101" s="5">
        <v>350000</v>
      </c>
      <c r="X101" s="5">
        <v>0</v>
      </c>
      <c r="Y101" s="5">
        <v>0</v>
      </c>
      <c r="Z101" s="5">
        <v>0</v>
      </c>
      <c r="AA101" s="3">
        <v>150000</v>
      </c>
      <c r="AB101" s="3">
        <v>0</v>
      </c>
      <c r="AC101" s="3">
        <v>0</v>
      </c>
      <c r="AD101" s="29">
        <v>0</v>
      </c>
      <c r="AE101" s="26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10"/>
      <c r="AT101" s="10"/>
      <c r="AU101" s="10"/>
      <c r="AV101" s="10"/>
      <c r="AW101" s="10"/>
      <c r="AX101" s="11"/>
    </row>
    <row r="102" spans="1:50" x14ac:dyDescent="0.25">
      <c r="A102" s="47" t="s">
        <v>138</v>
      </c>
      <c r="B102" s="47" t="s">
        <v>139</v>
      </c>
      <c r="C102" s="2" t="s">
        <v>51</v>
      </c>
      <c r="D102" s="22" t="s">
        <v>85</v>
      </c>
      <c r="E102" s="62" t="s">
        <v>3</v>
      </c>
      <c r="F102" s="2" t="s">
        <v>33</v>
      </c>
      <c r="G102" s="31" t="s">
        <v>34</v>
      </c>
      <c r="H102" s="2" t="s">
        <v>35</v>
      </c>
      <c r="I102" s="44" t="s">
        <v>74</v>
      </c>
      <c r="J102" s="2" t="s">
        <v>37</v>
      </c>
      <c r="K102" s="5">
        <v>1200000</v>
      </c>
      <c r="L102" s="5">
        <v>36349240</v>
      </c>
      <c r="M102" s="5">
        <v>51762543</v>
      </c>
      <c r="N102" s="8">
        <v>0.29943199999999998</v>
      </c>
      <c r="O102" s="5">
        <v>4615236</v>
      </c>
      <c r="P102" s="5"/>
      <c r="Q102" s="9">
        <v>0.26000837226958712</v>
      </c>
      <c r="R102" s="2">
        <v>1.43</v>
      </c>
      <c r="S102" s="5">
        <v>839160.83916083921</v>
      </c>
      <c r="T102" s="5">
        <v>162500</v>
      </c>
      <c r="U102" s="5">
        <v>87500</v>
      </c>
      <c r="V102" s="5">
        <v>0</v>
      </c>
      <c r="W102" s="5">
        <v>350000</v>
      </c>
      <c r="X102" s="5">
        <v>0</v>
      </c>
      <c r="Y102" s="5">
        <v>0</v>
      </c>
      <c r="Z102" s="5">
        <v>0</v>
      </c>
      <c r="AA102" s="3">
        <v>150000</v>
      </c>
      <c r="AB102" s="3">
        <v>0</v>
      </c>
      <c r="AC102" s="3">
        <v>0</v>
      </c>
      <c r="AD102" s="29">
        <v>0</v>
      </c>
      <c r="AE102" s="26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10"/>
      <c r="AT102" s="10"/>
      <c r="AU102" s="10"/>
      <c r="AV102" s="10"/>
      <c r="AW102" s="10"/>
      <c r="AX102" s="11"/>
    </row>
    <row r="103" spans="1:50" x14ac:dyDescent="0.25">
      <c r="A103" s="47" t="s">
        <v>140</v>
      </c>
      <c r="B103" s="47" t="s">
        <v>141</v>
      </c>
      <c r="C103" s="2" t="s">
        <v>51</v>
      </c>
      <c r="D103" s="22" t="s">
        <v>85</v>
      </c>
      <c r="E103" s="62" t="s">
        <v>3</v>
      </c>
      <c r="F103" s="2" t="s">
        <v>33</v>
      </c>
      <c r="G103" s="31" t="s">
        <v>34</v>
      </c>
      <c r="H103" s="2" t="s">
        <v>35</v>
      </c>
      <c r="I103" s="44" t="s">
        <v>74</v>
      </c>
      <c r="J103" s="2" t="s">
        <v>37</v>
      </c>
      <c r="K103" s="5">
        <v>450000</v>
      </c>
      <c r="L103" s="5">
        <v>14786460</v>
      </c>
      <c r="M103" s="5">
        <v>26374082</v>
      </c>
      <c r="N103" s="8">
        <v>0.20746999999999999</v>
      </c>
      <c r="O103" s="5">
        <v>2404084</v>
      </c>
      <c r="P103" s="5"/>
      <c r="Q103" s="9">
        <v>0.18718147951569081</v>
      </c>
      <c r="R103" s="2">
        <v>1.43</v>
      </c>
      <c r="S103" s="5">
        <v>314685.31468531472</v>
      </c>
      <c r="T103" s="5">
        <v>162500</v>
      </c>
      <c r="U103" s="5">
        <v>87500</v>
      </c>
      <c r="V103" s="5">
        <v>0</v>
      </c>
      <c r="W103" s="5">
        <v>350000</v>
      </c>
      <c r="X103" s="5">
        <v>0</v>
      </c>
      <c r="Y103" s="5">
        <v>0</v>
      </c>
      <c r="Z103" s="5">
        <v>0</v>
      </c>
      <c r="AA103" s="3">
        <v>150000</v>
      </c>
      <c r="AB103" s="3">
        <v>0</v>
      </c>
      <c r="AC103" s="3">
        <v>0</v>
      </c>
      <c r="AD103" s="29">
        <v>0</v>
      </c>
      <c r="AE103" s="26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10"/>
      <c r="AT103" s="10"/>
      <c r="AU103" s="10"/>
      <c r="AV103" s="10"/>
      <c r="AW103" s="10"/>
      <c r="AX103" s="11"/>
    </row>
    <row r="104" spans="1:50" x14ac:dyDescent="0.25">
      <c r="A104" s="47" t="s">
        <v>142</v>
      </c>
      <c r="B104" s="47" t="s">
        <v>143</v>
      </c>
      <c r="C104" s="2" t="s">
        <v>51</v>
      </c>
      <c r="D104" s="22" t="s">
        <v>126</v>
      </c>
      <c r="E104" s="62" t="s">
        <v>3</v>
      </c>
      <c r="F104" s="2" t="s">
        <v>33</v>
      </c>
      <c r="G104" s="31" t="s">
        <v>34</v>
      </c>
      <c r="H104" s="2" t="s">
        <v>35</v>
      </c>
      <c r="I104" s="44" t="s">
        <v>74</v>
      </c>
      <c r="J104" s="2" t="s">
        <v>37</v>
      </c>
      <c r="K104" s="5">
        <v>2000000</v>
      </c>
      <c r="L104" s="5">
        <v>32019120</v>
      </c>
      <c r="M104" s="5">
        <v>71756800</v>
      </c>
      <c r="N104" s="8">
        <v>0.18570349999999999</v>
      </c>
      <c r="O104" s="5">
        <v>7379426</v>
      </c>
      <c r="P104" s="5"/>
      <c r="Q104" s="9">
        <v>0.27102378965518459</v>
      </c>
      <c r="R104" s="2">
        <v>1.43</v>
      </c>
      <c r="S104" s="5">
        <v>1398601.398601399</v>
      </c>
      <c r="T104" s="5">
        <v>1000000</v>
      </c>
      <c r="U104" s="5">
        <v>125000</v>
      </c>
      <c r="V104" s="5">
        <v>0</v>
      </c>
      <c r="W104" s="5">
        <v>1000000</v>
      </c>
      <c r="X104" s="5">
        <v>0</v>
      </c>
      <c r="Y104" s="5">
        <v>0</v>
      </c>
      <c r="Z104" s="5">
        <v>0</v>
      </c>
      <c r="AA104" s="3">
        <v>200000</v>
      </c>
      <c r="AB104" s="3">
        <v>0</v>
      </c>
      <c r="AC104" s="3">
        <v>0</v>
      </c>
      <c r="AD104" s="29">
        <v>0</v>
      </c>
      <c r="AE104" s="26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10"/>
      <c r="AT104" s="10"/>
      <c r="AU104" s="10"/>
      <c r="AV104" s="10"/>
      <c r="AW104" s="10"/>
      <c r="AX104" s="11"/>
    </row>
    <row r="105" spans="1:50" x14ac:dyDescent="0.25">
      <c r="A105" s="47" t="s">
        <v>144</v>
      </c>
      <c r="B105" s="47" t="s">
        <v>145</v>
      </c>
      <c r="C105" s="2" t="s">
        <v>51</v>
      </c>
      <c r="D105" s="22" t="s">
        <v>126</v>
      </c>
      <c r="E105" s="62" t="s">
        <v>3</v>
      </c>
      <c r="F105" s="2" t="s">
        <v>33</v>
      </c>
      <c r="G105" s="31" t="s">
        <v>34</v>
      </c>
      <c r="H105" s="2" t="s">
        <v>35</v>
      </c>
      <c r="I105" s="44" t="s">
        <v>74</v>
      </c>
      <c r="J105" s="2" t="s">
        <v>37</v>
      </c>
      <c r="K105" s="5">
        <v>450000</v>
      </c>
      <c r="L105" s="5">
        <v>22168312</v>
      </c>
      <c r="M105" s="5">
        <v>29150728</v>
      </c>
      <c r="N105" s="8">
        <v>0.22092999999999999</v>
      </c>
      <c r="O105" s="5">
        <v>1542625</v>
      </c>
      <c r="P105" s="5"/>
      <c r="Q105" s="9">
        <v>0.29171055830159631</v>
      </c>
      <c r="R105" s="2">
        <v>1.43</v>
      </c>
      <c r="S105" s="5">
        <v>314685.31468531472</v>
      </c>
      <c r="T105" s="5">
        <v>0</v>
      </c>
      <c r="U105" s="5">
        <v>125000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3">
        <v>0</v>
      </c>
      <c r="AB105" s="3">
        <v>0</v>
      </c>
      <c r="AC105" s="3">
        <v>0</v>
      </c>
      <c r="AD105" s="29">
        <v>0</v>
      </c>
      <c r="AE105" s="26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10"/>
      <c r="AT105" s="10"/>
      <c r="AU105" s="10"/>
      <c r="AV105" s="10"/>
      <c r="AW105" s="10"/>
      <c r="AX105" s="11"/>
    </row>
    <row r="106" spans="1:50" x14ac:dyDescent="0.25">
      <c r="A106" s="47" t="s">
        <v>146</v>
      </c>
      <c r="B106" s="47" t="s">
        <v>147</v>
      </c>
      <c r="C106" s="2" t="s">
        <v>51</v>
      </c>
      <c r="D106" s="23" t="s">
        <v>110</v>
      </c>
      <c r="E106" s="62" t="s">
        <v>3</v>
      </c>
      <c r="F106" s="2" t="s">
        <v>33</v>
      </c>
      <c r="G106" s="31" t="s">
        <v>34</v>
      </c>
      <c r="H106" s="2" t="s">
        <v>35</v>
      </c>
      <c r="I106" s="44" t="s">
        <v>74</v>
      </c>
      <c r="J106" s="2" t="s">
        <v>37</v>
      </c>
      <c r="K106" s="5">
        <v>450000</v>
      </c>
      <c r="L106" s="5">
        <v>1597155</v>
      </c>
      <c r="M106" s="5">
        <v>9022456</v>
      </c>
      <c r="N106" s="8">
        <v>0.33055710468841598</v>
      </c>
      <c r="O106" s="5">
        <v>2454486</v>
      </c>
      <c r="P106" s="5">
        <v>2279702.6086675809</v>
      </c>
      <c r="Q106" s="9">
        <v>0.18333777418164129</v>
      </c>
      <c r="R106" s="2">
        <v>1.43</v>
      </c>
      <c r="S106" s="5">
        <v>314685.31468531472</v>
      </c>
      <c r="T106" s="5">
        <v>0</v>
      </c>
      <c r="U106" s="5">
        <v>0</v>
      </c>
      <c r="V106" s="5">
        <v>250000</v>
      </c>
      <c r="W106" s="5">
        <v>500000</v>
      </c>
      <c r="X106" s="5">
        <v>0</v>
      </c>
      <c r="Y106" s="5">
        <v>0</v>
      </c>
      <c r="Z106" s="5">
        <v>0</v>
      </c>
      <c r="AA106" s="3">
        <v>0</v>
      </c>
      <c r="AB106" s="3">
        <v>0</v>
      </c>
      <c r="AC106" s="3">
        <v>0</v>
      </c>
      <c r="AD106" s="29">
        <v>0</v>
      </c>
      <c r="AE106" s="26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10"/>
      <c r="AT106" s="10"/>
      <c r="AU106" s="10"/>
      <c r="AV106" s="10"/>
      <c r="AW106" s="10"/>
      <c r="AX106" s="11"/>
    </row>
    <row r="107" spans="1:50" x14ac:dyDescent="0.25">
      <c r="A107" s="47" t="s">
        <v>148</v>
      </c>
      <c r="B107" s="47" t="s">
        <v>149</v>
      </c>
      <c r="C107" s="2" t="s">
        <v>51</v>
      </c>
      <c r="D107" s="23" t="s">
        <v>110</v>
      </c>
      <c r="E107" s="62" t="s">
        <v>3</v>
      </c>
      <c r="F107" s="2" t="s">
        <v>33</v>
      </c>
      <c r="G107" s="31" t="s">
        <v>34</v>
      </c>
      <c r="H107" s="2" t="s">
        <v>35</v>
      </c>
      <c r="I107" s="44" t="s">
        <v>74</v>
      </c>
      <c r="J107" s="2" t="s">
        <v>37</v>
      </c>
      <c r="K107" s="5">
        <v>450000</v>
      </c>
      <c r="L107" s="5">
        <v>37441698</v>
      </c>
      <c r="M107" s="5">
        <v>145550692</v>
      </c>
      <c r="N107" s="8">
        <v>1.5199049951385169E-2</v>
      </c>
      <c r="O107" s="5">
        <v>1643154</v>
      </c>
      <c r="P107" s="5">
        <v>786042.79154050769</v>
      </c>
      <c r="Q107" s="9">
        <v>0.27386355752412739</v>
      </c>
      <c r="R107" s="2">
        <v>1.43</v>
      </c>
      <c r="S107" s="5">
        <v>314685.31468531472</v>
      </c>
      <c r="T107" s="5">
        <v>0</v>
      </c>
      <c r="U107" s="5">
        <v>0</v>
      </c>
      <c r="V107" s="5">
        <v>250000</v>
      </c>
      <c r="W107" s="5">
        <v>500000</v>
      </c>
      <c r="X107" s="5">
        <v>0</v>
      </c>
      <c r="Y107" s="5">
        <v>0</v>
      </c>
      <c r="Z107" s="5">
        <v>0</v>
      </c>
      <c r="AA107" s="3">
        <v>0</v>
      </c>
      <c r="AB107" s="3">
        <v>0</v>
      </c>
      <c r="AC107" s="3">
        <v>0</v>
      </c>
      <c r="AD107" s="29">
        <v>0</v>
      </c>
      <c r="AE107" s="26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10"/>
      <c r="AT107" s="10"/>
      <c r="AU107" s="10"/>
      <c r="AV107" s="10"/>
      <c r="AW107" s="10"/>
      <c r="AX107" s="11"/>
    </row>
    <row r="108" spans="1:50" x14ac:dyDescent="0.25">
      <c r="A108" s="47" t="s">
        <v>150</v>
      </c>
      <c r="B108" s="47" t="s">
        <v>151</v>
      </c>
      <c r="C108" s="2" t="s">
        <v>51</v>
      </c>
      <c r="D108" s="23" t="s">
        <v>110</v>
      </c>
      <c r="E108" s="62" t="s">
        <v>3</v>
      </c>
      <c r="F108" s="2" t="s">
        <v>33</v>
      </c>
      <c r="G108" s="31" t="s">
        <v>34</v>
      </c>
      <c r="H108" s="2" t="s">
        <v>35</v>
      </c>
      <c r="I108" s="44" t="s">
        <v>74</v>
      </c>
      <c r="J108" s="2" t="s">
        <v>37</v>
      </c>
      <c r="K108" s="5">
        <v>900000</v>
      </c>
      <c r="L108" s="5">
        <v>45765531</v>
      </c>
      <c r="M108" s="5">
        <v>122323818</v>
      </c>
      <c r="N108" s="8">
        <v>3.4118004756297643E-2</v>
      </c>
      <c r="O108" s="5">
        <v>2612016</v>
      </c>
      <c r="P108" s="5"/>
      <c r="Q108" s="9">
        <v>0.34456144219637252</v>
      </c>
      <c r="R108" s="2">
        <v>1.43</v>
      </c>
      <c r="S108" s="5">
        <v>629370.62937062944</v>
      </c>
      <c r="T108" s="5">
        <v>0</v>
      </c>
      <c r="U108" s="5">
        <v>0</v>
      </c>
      <c r="V108" s="5">
        <v>250000</v>
      </c>
      <c r="W108" s="5">
        <v>500000</v>
      </c>
      <c r="X108" s="5">
        <v>0</v>
      </c>
      <c r="Y108" s="5">
        <v>0</v>
      </c>
      <c r="Z108" s="5">
        <v>0</v>
      </c>
      <c r="AA108" s="3">
        <v>0</v>
      </c>
      <c r="AB108" s="3">
        <v>0</v>
      </c>
      <c r="AC108" s="3">
        <v>0</v>
      </c>
      <c r="AD108" s="29">
        <v>0</v>
      </c>
      <c r="AE108" s="26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10"/>
      <c r="AT108" s="10"/>
      <c r="AU108" s="10"/>
      <c r="AV108" s="10"/>
      <c r="AW108" s="10"/>
      <c r="AX108" s="11"/>
    </row>
    <row r="109" spans="1:50" x14ac:dyDescent="0.25">
      <c r="A109" s="47" t="s">
        <v>152</v>
      </c>
      <c r="B109" s="47" t="s">
        <v>153</v>
      </c>
      <c r="C109" s="2" t="s">
        <v>51</v>
      </c>
      <c r="D109" s="23" t="s">
        <v>110</v>
      </c>
      <c r="E109" s="62" t="s">
        <v>3</v>
      </c>
      <c r="F109" s="2" t="s">
        <v>33</v>
      </c>
      <c r="G109" s="31" t="s">
        <v>34</v>
      </c>
      <c r="H109" s="2" t="s">
        <v>35</v>
      </c>
      <c r="I109" s="44" t="s">
        <v>74</v>
      </c>
      <c r="J109" s="2" t="s">
        <v>37</v>
      </c>
      <c r="K109" s="5">
        <v>1200000</v>
      </c>
      <c r="L109" s="5">
        <v>10292835</v>
      </c>
      <c r="M109" s="5">
        <v>18455977</v>
      </c>
      <c r="N109" s="8">
        <v>0.42213059628265692</v>
      </c>
      <c r="O109" s="5">
        <v>3445912</v>
      </c>
      <c r="P109" s="5"/>
      <c r="Q109" s="9">
        <v>0.34823872461049499</v>
      </c>
      <c r="R109" s="2">
        <v>1.43</v>
      </c>
      <c r="S109" s="5">
        <v>839160.83916083921</v>
      </c>
      <c r="T109" s="5">
        <v>0</v>
      </c>
      <c r="U109" s="5">
        <v>0</v>
      </c>
      <c r="V109" s="5">
        <v>250000</v>
      </c>
      <c r="W109" s="5">
        <v>500000</v>
      </c>
      <c r="X109" s="5">
        <v>0</v>
      </c>
      <c r="Y109" s="5">
        <v>0</v>
      </c>
      <c r="Z109" s="5">
        <v>0</v>
      </c>
      <c r="AA109" s="3">
        <v>0</v>
      </c>
      <c r="AB109" s="3">
        <v>0</v>
      </c>
      <c r="AC109" s="3">
        <v>0</v>
      </c>
      <c r="AD109" s="29">
        <v>0</v>
      </c>
      <c r="AE109" s="26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10"/>
      <c r="AT109" s="10"/>
      <c r="AU109" s="10"/>
      <c r="AV109" s="10"/>
      <c r="AW109" s="10"/>
      <c r="AX109" s="11"/>
    </row>
    <row r="110" spans="1:50" x14ac:dyDescent="0.25">
      <c r="A110" s="47" t="s">
        <v>154</v>
      </c>
      <c r="B110" s="47" t="s">
        <v>155</v>
      </c>
      <c r="C110" s="2" t="s">
        <v>51</v>
      </c>
      <c r="D110" s="23" t="s">
        <v>110</v>
      </c>
      <c r="E110" s="62" t="s">
        <v>3</v>
      </c>
      <c r="F110" s="2" t="s">
        <v>33</v>
      </c>
      <c r="G110" s="31" t="s">
        <v>34</v>
      </c>
      <c r="H110" s="2" t="s">
        <v>35</v>
      </c>
      <c r="I110" s="44" t="s">
        <v>74</v>
      </c>
      <c r="J110" s="2" t="s">
        <v>37</v>
      </c>
      <c r="K110" s="5">
        <v>250000</v>
      </c>
      <c r="L110" s="5">
        <v>37819455</v>
      </c>
      <c r="M110" s="5">
        <v>109699263</v>
      </c>
      <c r="N110" s="8">
        <v>2.7401200069983488E-2</v>
      </c>
      <c r="O110" s="5">
        <v>1969593</v>
      </c>
      <c r="P110" s="7">
        <v>22971.22065346919</v>
      </c>
      <c r="Q110" s="9">
        <v>0.12692977686252949</v>
      </c>
      <c r="R110" s="2">
        <v>1.43</v>
      </c>
      <c r="S110" s="5">
        <v>174825.17482517479</v>
      </c>
      <c r="T110" s="5">
        <v>0</v>
      </c>
      <c r="U110" s="5">
        <v>250000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3">
        <v>0</v>
      </c>
      <c r="AB110" s="3">
        <v>0</v>
      </c>
      <c r="AC110" s="3">
        <v>0</v>
      </c>
      <c r="AD110" s="29">
        <v>0</v>
      </c>
      <c r="AE110" s="26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10"/>
      <c r="AT110" s="10"/>
      <c r="AU110" s="10"/>
      <c r="AV110" s="10"/>
      <c r="AW110" s="10"/>
      <c r="AX110" s="11"/>
    </row>
    <row r="111" spans="1:50" x14ac:dyDescent="0.25">
      <c r="A111" s="47" t="s">
        <v>156</v>
      </c>
      <c r="B111" s="47" t="s">
        <v>157</v>
      </c>
      <c r="C111" s="2" t="s">
        <v>51</v>
      </c>
      <c r="D111" s="23" t="s">
        <v>110</v>
      </c>
      <c r="E111" s="62" t="s">
        <v>3</v>
      </c>
      <c r="F111" s="2" t="s">
        <v>33</v>
      </c>
      <c r="G111" s="31" t="s">
        <v>34</v>
      </c>
      <c r="H111" s="2" t="s">
        <v>35</v>
      </c>
      <c r="I111" s="44" t="s">
        <v>74</v>
      </c>
      <c r="J111" s="2" t="s">
        <v>37</v>
      </c>
      <c r="K111" s="5">
        <v>250000</v>
      </c>
      <c r="L111" s="5">
        <v>5501653</v>
      </c>
      <c r="M111" s="5">
        <v>15335263</v>
      </c>
      <c r="N111" s="8">
        <v>0.1023020030283894</v>
      </c>
      <c r="O111" s="5">
        <v>1005998</v>
      </c>
      <c r="P111" s="7">
        <v>288066.17450946302</v>
      </c>
      <c r="Q111" s="9">
        <v>0.24850944037662101</v>
      </c>
      <c r="R111" s="2">
        <v>1.43</v>
      </c>
      <c r="S111" s="5">
        <v>174825.17482517479</v>
      </c>
      <c r="T111" s="5">
        <v>0</v>
      </c>
      <c r="U111" s="5">
        <v>250000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3">
        <v>0</v>
      </c>
      <c r="AB111" s="3">
        <v>0</v>
      </c>
      <c r="AC111" s="3">
        <v>0</v>
      </c>
      <c r="AD111" s="29">
        <v>0</v>
      </c>
      <c r="AE111" s="26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10"/>
      <c r="AT111" s="10"/>
      <c r="AU111" s="10"/>
      <c r="AV111" s="10"/>
      <c r="AW111" s="10"/>
      <c r="AX111" s="11"/>
    </row>
    <row r="112" spans="1:50" x14ac:dyDescent="0.25">
      <c r="A112" s="47" t="s">
        <v>158</v>
      </c>
      <c r="B112" s="47" t="s">
        <v>159</v>
      </c>
      <c r="C112" s="2" t="s">
        <v>51</v>
      </c>
      <c r="D112" s="23" t="s">
        <v>160</v>
      </c>
      <c r="E112" s="62" t="s">
        <v>3</v>
      </c>
      <c r="F112" s="2" t="s">
        <v>33</v>
      </c>
      <c r="G112" s="31" t="s">
        <v>34</v>
      </c>
      <c r="H112" s="2" t="s">
        <v>35</v>
      </c>
      <c r="I112" s="44" t="s">
        <v>74</v>
      </c>
      <c r="J112" s="2" t="s">
        <v>37</v>
      </c>
      <c r="K112" s="5">
        <v>700000</v>
      </c>
      <c r="L112" s="5">
        <v>4532963</v>
      </c>
      <c r="M112" s="5">
        <v>26252734</v>
      </c>
      <c r="N112" s="8">
        <v>0.1279965152487105</v>
      </c>
      <c r="O112" s="5">
        <v>2780055</v>
      </c>
      <c r="P112" s="7">
        <v>2767959</v>
      </c>
      <c r="Q112" s="9">
        <v>0.25179357962342469</v>
      </c>
      <c r="R112" s="2">
        <v>1.43</v>
      </c>
      <c r="S112" s="5">
        <v>489510.48951048951</v>
      </c>
      <c r="T112" s="5">
        <v>0</v>
      </c>
      <c r="U112" s="5">
        <v>250000</v>
      </c>
      <c r="V112" s="5">
        <v>0</v>
      </c>
      <c r="W112" s="5">
        <v>250000</v>
      </c>
      <c r="X112" s="5">
        <v>0</v>
      </c>
      <c r="Y112" s="5">
        <v>0</v>
      </c>
      <c r="Z112" s="5">
        <v>0</v>
      </c>
      <c r="AA112" s="3">
        <v>0</v>
      </c>
      <c r="AB112" s="3">
        <v>0</v>
      </c>
      <c r="AC112" s="3">
        <v>0</v>
      </c>
      <c r="AD112" s="29">
        <v>0</v>
      </c>
      <c r="AE112" s="26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10"/>
      <c r="AT112" s="10"/>
      <c r="AU112" s="10"/>
      <c r="AV112" s="10"/>
      <c r="AW112" s="10"/>
      <c r="AX112" s="11"/>
    </row>
    <row r="113" spans="1:50" x14ac:dyDescent="0.25">
      <c r="A113" s="47" t="s">
        <v>161</v>
      </c>
      <c r="B113" s="47" t="s">
        <v>162</v>
      </c>
      <c r="C113" s="2" t="s">
        <v>51</v>
      </c>
      <c r="D113" s="23" t="s">
        <v>160</v>
      </c>
      <c r="E113" s="62" t="s">
        <v>3</v>
      </c>
      <c r="F113" s="2" t="s">
        <v>33</v>
      </c>
      <c r="G113" s="31" t="s">
        <v>48</v>
      </c>
      <c r="H113" s="2" t="s">
        <v>35</v>
      </c>
      <c r="I113" s="44" t="s">
        <v>74</v>
      </c>
      <c r="J113" s="2" t="s">
        <v>37</v>
      </c>
      <c r="K113" s="5">
        <v>300000</v>
      </c>
      <c r="L113" s="5">
        <v>5769696</v>
      </c>
      <c r="M113" s="5">
        <v>24637897</v>
      </c>
      <c r="N113" s="8">
        <v>0.12304299705096421</v>
      </c>
      <c r="O113" s="5">
        <v>2321600</v>
      </c>
      <c r="P113" s="5"/>
      <c r="Q113" s="9">
        <v>0.12922122674017919</v>
      </c>
      <c r="R113" s="2">
        <v>1.43</v>
      </c>
      <c r="S113" s="5">
        <v>209790.2097902098</v>
      </c>
      <c r="T113" s="5">
        <v>0</v>
      </c>
      <c r="U113" s="5">
        <v>250000</v>
      </c>
      <c r="V113" s="5">
        <v>0</v>
      </c>
      <c r="W113" s="5">
        <v>250000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30">
        <v>0</v>
      </c>
      <c r="AE113" s="27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10"/>
      <c r="AT113" s="10"/>
      <c r="AU113" s="10"/>
      <c r="AV113" s="10"/>
      <c r="AW113" s="10"/>
      <c r="AX113" s="11"/>
    </row>
    <row r="114" spans="1:50" x14ac:dyDescent="0.25">
      <c r="A114" s="47" t="s">
        <v>163</v>
      </c>
      <c r="B114" s="47" t="s">
        <v>164</v>
      </c>
      <c r="C114" s="63" t="s">
        <v>51</v>
      </c>
      <c r="D114" s="23" t="s">
        <v>73</v>
      </c>
      <c r="E114" s="62" t="s">
        <v>3</v>
      </c>
      <c r="F114" s="2" t="s">
        <v>33</v>
      </c>
      <c r="G114" s="31" t="s">
        <v>34</v>
      </c>
      <c r="H114" s="2" t="s">
        <v>35</v>
      </c>
      <c r="I114" s="44" t="s">
        <v>165</v>
      </c>
      <c r="J114" s="2" t="s">
        <v>166</v>
      </c>
      <c r="K114" s="5">
        <v>1125000</v>
      </c>
      <c r="L114" s="5">
        <v>68361874</v>
      </c>
      <c r="M114" s="5">
        <v>80067375</v>
      </c>
      <c r="N114" s="8">
        <v>0.44650944999999997</v>
      </c>
      <c r="O114" s="5">
        <v>5226617</v>
      </c>
      <c r="P114" s="76"/>
      <c r="Q114" s="9">
        <v>0.2152443923095953</v>
      </c>
      <c r="R114" s="2">
        <v>1.35</v>
      </c>
      <c r="S114" s="5">
        <v>833333.33333333326</v>
      </c>
      <c r="T114" s="5">
        <v>0</v>
      </c>
      <c r="U114" s="5">
        <v>0</v>
      </c>
      <c r="V114" s="5">
        <v>0</v>
      </c>
      <c r="W114" s="5">
        <v>1125000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30">
        <v>0</v>
      </c>
      <c r="AE114" s="27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10"/>
      <c r="AT114" s="10"/>
      <c r="AU114" s="10"/>
      <c r="AV114" s="10"/>
      <c r="AW114" s="10"/>
      <c r="AX114" s="11"/>
    </row>
    <row r="115" spans="1:50" x14ac:dyDescent="0.25">
      <c r="A115" s="47" t="s">
        <v>167</v>
      </c>
      <c r="B115" s="47" t="s">
        <v>168</v>
      </c>
      <c r="C115" s="63" t="s">
        <v>51</v>
      </c>
      <c r="D115" s="23" t="s">
        <v>73</v>
      </c>
      <c r="E115" s="62" t="s">
        <v>3</v>
      </c>
      <c r="F115" s="2" t="s">
        <v>33</v>
      </c>
      <c r="G115" s="31" t="s">
        <v>48</v>
      </c>
      <c r="H115" s="2" t="s">
        <v>35</v>
      </c>
      <c r="I115" s="44" t="s">
        <v>165</v>
      </c>
      <c r="J115" s="2" t="s">
        <v>166</v>
      </c>
      <c r="K115" s="5">
        <v>375000</v>
      </c>
      <c r="L115" s="5">
        <v>73752210</v>
      </c>
      <c r="M115" s="5">
        <v>214306830</v>
      </c>
      <c r="N115" s="8">
        <v>1.516195E-2</v>
      </c>
      <c r="O115" s="5">
        <v>2131083</v>
      </c>
      <c r="P115" s="76"/>
      <c r="Q115" s="9">
        <v>0.17596686755044269</v>
      </c>
      <c r="R115" s="2">
        <v>1.35</v>
      </c>
      <c r="S115" s="5">
        <v>277777.77777777781</v>
      </c>
      <c r="T115" s="5">
        <v>0</v>
      </c>
      <c r="U115" s="5">
        <v>0</v>
      </c>
      <c r="V115" s="5">
        <v>0</v>
      </c>
      <c r="W115" s="5">
        <v>375000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30">
        <v>0</v>
      </c>
      <c r="AE115" s="27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10"/>
      <c r="AT115" s="10"/>
      <c r="AU115" s="10"/>
      <c r="AV115" s="10"/>
      <c r="AW115" s="10"/>
      <c r="AX115" s="11"/>
    </row>
    <row r="116" spans="1:50" x14ac:dyDescent="0.25">
      <c r="A116" s="47" t="s">
        <v>169</v>
      </c>
      <c r="B116" s="47" t="s">
        <v>170</v>
      </c>
      <c r="C116" s="63" t="s">
        <v>51</v>
      </c>
      <c r="D116" s="23" t="s">
        <v>73</v>
      </c>
      <c r="E116" s="62" t="s">
        <v>3</v>
      </c>
      <c r="F116" s="2" t="s">
        <v>33</v>
      </c>
      <c r="G116" s="31" t="s">
        <v>34</v>
      </c>
      <c r="H116" s="2" t="s">
        <v>35</v>
      </c>
      <c r="I116" s="44" t="s">
        <v>171</v>
      </c>
      <c r="J116" s="2" t="s">
        <v>166</v>
      </c>
      <c r="K116" s="5">
        <v>1500000</v>
      </c>
      <c r="L116" s="5">
        <v>53264475</v>
      </c>
      <c r="M116" s="5">
        <v>84733225</v>
      </c>
      <c r="N116" s="8">
        <v>0.29599999999999999</v>
      </c>
      <c r="O116" s="5">
        <v>9314750</v>
      </c>
      <c r="P116" s="76"/>
      <c r="Q116" s="9">
        <v>0.16103491773799619</v>
      </c>
      <c r="R116" s="2">
        <v>1.35</v>
      </c>
      <c r="S116" s="5">
        <v>1111111.111111111</v>
      </c>
      <c r="T116" s="5">
        <v>0</v>
      </c>
      <c r="U116" s="5">
        <v>0</v>
      </c>
      <c r="V116" s="5">
        <v>0</v>
      </c>
      <c r="W116" s="5">
        <v>1500000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30">
        <v>0</v>
      </c>
      <c r="AE116" s="27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10"/>
      <c r="AT116" s="10"/>
      <c r="AU116" s="10"/>
      <c r="AV116" s="10"/>
      <c r="AW116" s="10"/>
      <c r="AX116" s="11"/>
    </row>
    <row r="117" spans="1:50" x14ac:dyDescent="0.25">
      <c r="A117" s="47" t="s">
        <v>172</v>
      </c>
      <c r="B117" s="47" t="s">
        <v>173</v>
      </c>
      <c r="C117" s="63" t="s">
        <v>51</v>
      </c>
      <c r="D117" s="23" t="s">
        <v>73</v>
      </c>
      <c r="E117" s="64" t="s">
        <v>535</v>
      </c>
      <c r="F117" s="2" t="s">
        <v>41</v>
      </c>
      <c r="G117" s="31" t="s">
        <v>34</v>
      </c>
      <c r="H117" s="2" t="s">
        <v>35</v>
      </c>
      <c r="I117" s="44" t="s">
        <v>171</v>
      </c>
      <c r="J117" s="2" t="s">
        <v>166</v>
      </c>
      <c r="K117" s="5">
        <v>1000000</v>
      </c>
      <c r="L117" s="5">
        <v>53264475</v>
      </c>
      <c r="M117" s="5">
        <v>84733225</v>
      </c>
      <c r="N117" s="8">
        <v>0.1973</v>
      </c>
      <c r="O117" s="5">
        <v>6208785</v>
      </c>
      <c r="P117" s="76"/>
      <c r="Q117" s="9">
        <v>0.16106210796476281</v>
      </c>
      <c r="R117" s="2">
        <v>1.35</v>
      </c>
      <c r="S117" s="5">
        <v>740740.74074074067</v>
      </c>
      <c r="T117" s="5">
        <v>0</v>
      </c>
      <c r="U117" s="5">
        <v>1000000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30">
        <v>0</v>
      </c>
      <c r="AE117" s="27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10"/>
      <c r="AT117" s="10"/>
      <c r="AU117" s="10"/>
      <c r="AV117" s="10"/>
      <c r="AW117" s="10"/>
      <c r="AX117" s="11"/>
    </row>
    <row r="118" spans="1:50" x14ac:dyDescent="0.25">
      <c r="A118" s="47" t="s">
        <v>174</v>
      </c>
      <c r="B118" s="47" t="s">
        <v>175</v>
      </c>
      <c r="C118" s="63" t="s">
        <v>51</v>
      </c>
      <c r="D118" s="23" t="s">
        <v>73</v>
      </c>
      <c r="E118" s="64" t="s">
        <v>535</v>
      </c>
      <c r="F118" s="2" t="s">
        <v>41</v>
      </c>
      <c r="G118" s="31" t="s">
        <v>34</v>
      </c>
      <c r="H118" s="2" t="s">
        <v>35</v>
      </c>
      <c r="I118" s="44" t="s">
        <v>165</v>
      </c>
      <c r="J118" s="2" t="s">
        <v>166</v>
      </c>
      <c r="K118" s="5">
        <v>750000</v>
      </c>
      <c r="L118" s="5">
        <v>68361874</v>
      </c>
      <c r="M118" s="5">
        <v>80067375</v>
      </c>
      <c r="N118" s="8">
        <v>0.2976767293</v>
      </c>
      <c r="O118" s="5">
        <v>3484411</v>
      </c>
      <c r="P118" s="76"/>
      <c r="Q118" s="9">
        <v>0.21524441290077431</v>
      </c>
      <c r="R118" s="2">
        <v>1.35</v>
      </c>
      <c r="S118" s="5">
        <v>555555.5555555555</v>
      </c>
      <c r="T118" s="5">
        <v>0</v>
      </c>
      <c r="U118" s="5">
        <v>750000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30">
        <v>0</v>
      </c>
      <c r="AE118" s="27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10"/>
      <c r="AT118" s="10"/>
      <c r="AU118" s="10"/>
      <c r="AV118" s="10"/>
      <c r="AW118" s="10"/>
      <c r="AX118" s="11"/>
    </row>
    <row r="119" spans="1:50" x14ac:dyDescent="0.25">
      <c r="A119" s="47" t="s">
        <v>176</v>
      </c>
      <c r="B119" s="47" t="s">
        <v>177</v>
      </c>
      <c r="C119" s="63" t="s">
        <v>51</v>
      </c>
      <c r="D119" s="23" t="s">
        <v>73</v>
      </c>
      <c r="E119" s="64" t="s">
        <v>535</v>
      </c>
      <c r="F119" s="2" t="s">
        <v>41</v>
      </c>
      <c r="G119" s="31" t="s">
        <v>48</v>
      </c>
      <c r="H119" s="2" t="s">
        <v>35</v>
      </c>
      <c r="I119" s="44" t="s">
        <v>165</v>
      </c>
      <c r="J119" s="2" t="s">
        <v>166</v>
      </c>
      <c r="K119" s="5">
        <v>250000</v>
      </c>
      <c r="L119" s="5">
        <v>73752210</v>
      </c>
      <c r="M119" s="5">
        <v>214306830</v>
      </c>
      <c r="N119" s="8">
        <v>1.0107970000000001E-2</v>
      </c>
      <c r="O119" s="5">
        <v>1420722</v>
      </c>
      <c r="P119" s="76"/>
      <c r="Q119" s="9">
        <v>0.17596686755044269</v>
      </c>
      <c r="R119" s="2">
        <v>1.35</v>
      </c>
      <c r="S119" s="5">
        <v>185185.1851851852</v>
      </c>
      <c r="T119" s="5">
        <v>0</v>
      </c>
      <c r="U119" s="5">
        <v>250000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30">
        <v>0</v>
      </c>
      <c r="AE119" s="27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10"/>
      <c r="AT119" s="10"/>
      <c r="AU119" s="10"/>
      <c r="AV119" s="10"/>
      <c r="AW119" s="10"/>
      <c r="AX119" s="11"/>
    </row>
    <row r="120" spans="1:50" x14ac:dyDescent="0.25">
      <c r="A120" s="47" t="s">
        <v>178</v>
      </c>
      <c r="B120" s="47" t="s">
        <v>30</v>
      </c>
      <c r="C120" s="63" t="s">
        <v>31</v>
      </c>
      <c r="D120" s="23" t="s">
        <v>32</v>
      </c>
      <c r="E120" s="62" t="s">
        <v>3</v>
      </c>
      <c r="F120" s="2" t="s">
        <v>33</v>
      </c>
      <c r="G120" s="31" t="s">
        <v>34</v>
      </c>
      <c r="H120" s="2" t="s">
        <v>35</v>
      </c>
      <c r="I120" s="44" t="s">
        <v>171</v>
      </c>
      <c r="J120" s="2" t="s">
        <v>166</v>
      </c>
      <c r="K120" s="5">
        <v>876092</v>
      </c>
      <c r="L120" s="5">
        <v>2462637.5</v>
      </c>
      <c r="M120" s="5">
        <v>22951012.5</v>
      </c>
      <c r="N120" s="8">
        <v>0.24</v>
      </c>
      <c r="O120" s="5">
        <v>4917210</v>
      </c>
      <c r="P120" s="76"/>
      <c r="Q120" s="9">
        <v>0.17816851425910221</v>
      </c>
      <c r="R120" s="2">
        <v>1.35</v>
      </c>
      <c r="S120" s="5">
        <v>648957.03703703696</v>
      </c>
      <c r="T120" s="5">
        <v>876092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30">
        <v>0</v>
      </c>
      <c r="AE120" s="27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10"/>
      <c r="AT120" s="10"/>
      <c r="AU120" s="10"/>
      <c r="AV120" s="10"/>
      <c r="AW120" s="10"/>
      <c r="AX120" s="11"/>
    </row>
    <row r="121" spans="1:50" x14ac:dyDescent="0.25">
      <c r="A121" s="47" t="s">
        <v>179</v>
      </c>
      <c r="B121" s="47" t="s">
        <v>180</v>
      </c>
      <c r="C121" s="63" t="s">
        <v>31</v>
      </c>
      <c r="D121" s="23" t="s">
        <v>32</v>
      </c>
      <c r="E121" s="62" t="s">
        <v>3</v>
      </c>
      <c r="F121" s="2" t="s">
        <v>33</v>
      </c>
      <c r="G121" s="31" t="s">
        <v>34</v>
      </c>
      <c r="H121" s="2" t="s">
        <v>35</v>
      </c>
      <c r="I121" s="44" t="s">
        <v>171</v>
      </c>
      <c r="J121" s="2" t="s">
        <v>166</v>
      </c>
      <c r="K121" s="5">
        <v>609790</v>
      </c>
      <c r="L121" s="5">
        <v>12130450</v>
      </c>
      <c r="M121" s="5">
        <v>29508372.884542599</v>
      </c>
      <c r="N121" s="8">
        <v>0.25</v>
      </c>
      <c r="O121" s="5">
        <v>4344480.7211356601</v>
      </c>
      <c r="P121" s="76"/>
      <c r="Q121" s="9">
        <v>0.14035969754300101</v>
      </c>
      <c r="R121" s="2">
        <v>1.35</v>
      </c>
      <c r="S121" s="5">
        <v>451696.29629629629</v>
      </c>
      <c r="T121" s="5">
        <v>609790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30">
        <v>0</v>
      </c>
      <c r="AE121" s="27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10"/>
      <c r="AT121" s="10"/>
      <c r="AU121" s="10"/>
      <c r="AV121" s="10"/>
      <c r="AW121" s="10"/>
      <c r="AX121" s="11"/>
    </row>
    <row r="122" spans="1:50" x14ac:dyDescent="0.25">
      <c r="A122" s="47" t="s">
        <v>181</v>
      </c>
      <c r="B122" s="47" t="s">
        <v>64</v>
      </c>
      <c r="C122" s="63" t="s">
        <v>31</v>
      </c>
      <c r="D122" s="23" t="s">
        <v>65</v>
      </c>
      <c r="E122" s="62" t="s">
        <v>3</v>
      </c>
      <c r="F122" s="2" t="s">
        <v>33</v>
      </c>
      <c r="G122" s="31" t="s">
        <v>34</v>
      </c>
      <c r="H122" s="2" t="s">
        <v>35</v>
      </c>
      <c r="I122" s="44" t="s">
        <v>171</v>
      </c>
      <c r="J122" s="2" t="s">
        <v>166</v>
      </c>
      <c r="K122" s="5">
        <v>800000</v>
      </c>
      <c r="L122" s="5">
        <v>22379733</v>
      </c>
      <c r="M122" s="5">
        <v>30674085</v>
      </c>
      <c r="N122" s="8">
        <v>0.48249999999999998</v>
      </c>
      <c r="O122" s="5">
        <v>4002025</v>
      </c>
      <c r="P122" s="76"/>
      <c r="Q122" s="9">
        <v>0.19989880123187639</v>
      </c>
      <c r="R122" s="2">
        <v>1.35</v>
      </c>
      <c r="S122" s="5">
        <v>592592.59259259258</v>
      </c>
      <c r="T122" s="5">
        <v>250000</v>
      </c>
      <c r="U122" s="5">
        <v>0</v>
      </c>
      <c r="V122" s="5">
        <v>0</v>
      </c>
      <c r="W122" s="5">
        <v>250000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30">
        <v>0</v>
      </c>
      <c r="AE122" s="27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10"/>
      <c r="AT122" s="10"/>
      <c r="AU122" s="10"/>
      <c r="AV122" s="10"/>
      <c r="AW122" s="10"/>
      <c r="AX122" s="11"/>
    </row>
    <row r="123" spans="1:50" x14ac:dyDescent="0.25">
      <c r="A123" s="47" t="s">
        <v>182</v>
      </c>
      <c r="B123" s="47" t="s">
        <v>67</v>
      </c>
      <c r="C123" s="63" t="s">
        <v>31</v>
      </c>
      <c r="D123" s="23" t="s">
        <v>65</v>
      </c>
      <c r="E123" s="62" t="s">
        <v>3</v>
      </c>
      <c r="F123" s="2" t="s">
        <v>33</v>
      </c>
      <c r="G123" s="31" t="s">
        <v>34</v>
      </c>
      <c r="H123" s="2" t="s">
        <v>35</v>
      </c>
      <c r="I123" s="44" t="s">
        <v>171</v>
      </c>
      <c r="J123" s="2" t="s">
        <v>166</v>
      </c>
      <c r="K123" s="5">
        <v>200000</v>
      </c>
      <c r="L123" s="5">
        <v>31309551</v>
      </c>
      <c r="M123" s="5">
        <v>38758563</v>
      </c>
      <c r="N123" s="8">
        <v>0.1012</v>
      </c>
      <c r="O123" s="5">
        <v>753840</v>
      </c>
      <c r="P123" s="76"/>
      <c r="Q123" s="9">
        <v>0.26530828823092428</v>
      </c>
      <c r="R123" s="2">
        <v>1.35</v>
      </c>
      <c r="S123" s="5">
        <v>148148.14814814809</v>
      </c>
      <c r="T123" s="5">
        <v>250000</v>
      </c>
      <c r="U123" s="5">
        <v>0</v>
      </c>
      <c r="V123" s="5">
        <v>0</v>
      </c>
      <c r="W123" s="5">
        <v>250000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30">
        <v>0</v>
      </c>
      <c r="AE123" s="27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10"/>
      <c r="AT123" s="10"/>
      <c r="AU123" s="10"/>
      <c r="AV123" s="10"/>
      <c r="AW123" s="10"/>
      <c r="AX123" s="11"/>
    </row>
    <row r="124" spans="1:50" x14ac:dyDescent="0.25">
      <c r="A124" s="47" t="s">
        <v>183</v>
      </c>
      <c r="B124" s="47" t="s">
        <v>184</v>
      </c>
      <c r="C124" s="63" t="s">
        <v>31</v>
      </c>
      <c r="D124" s="23" t="s">
        <v>185</v>
      </c>
      <c r="E124" s="62" t="s">
        <v>3</v>
      </c>
      <c r="F124" s="2" t="s">
        <v>33</v>
      </c>
      <c r="G124" s="31" t="s">
        <v>34</v>
      </c>
      <c r="H124" s="2" t="s">
        <v>35</v>
      </c>
      <c r="I124" s="44" t="s">
        <v>171</v>
      </c>
      <c r="J124" s="2" t="s">
        <v>166</v>
      </c>
      <c r="K124" s="5">
        <v>2850000</v>
      </c>
      <c r="L124" s="5">
        <v>13306250</v>
      </c>
      <c r="M124" s="5">
        <v>37534944</v>
      </c>
      <c r="N124" s="8">
        <v>0.57799999999999996</v>
      </c>
      <c r="O124" s="5">
        <v>14004185</v>
      </c>
      <c r="P124" s="76"/>
      <c r="Q124" s="9">
        <v>0.2035105934404608</v>
      </c>
      <c r="R124" s="2">
        <v>1.35</v>
      </c>
      <c r="S124" s="5">
        <v>2111111.111111111</v>
      </c>
      <c r="T124" s="5">
        <v>2849999.93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30">
        <v>0</v>
      </c>
      <c r="AE124" s="27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10"/>
      <c r="AT124" s="10"/>
      <c r="AU124" s="10"/>
      <c r="AV124" s="10"/>
      <c r="AW124" s="10"/>
      <c r="AX124" s="11"/>
    </row>
    <row r="125" spans="1:50" x14ac:dyDescent="0.25">
      <c r="A125" s="47" t="s">
        <v>186</v>
      </c>
      <c r="B125" s="47" t="s">
        <v>187</v>
      </c>
      <c r="C125" s="63" t="s">
        <v>31</v>
      </c>
      <c r="D125" s="23" t="s">
        <v>185</v>
      </c>
      <c r="E125" s="62" t="s">
        <v>3</v>
      </c>
      <c r="F125" s="2" t="s">
        <v>33</v>
      </c>
      <c r="G125" s="31" t="s">
        <v>48</v>
      </c>
      <c r="H125" s="2" t="s">
        <v>35</v>
      </c>
      <c r="I125" s="44" t="s">
        <v>171</v>
      </c>
      <c r="J125" s="2" t="s">
        <v>166</v>
      </c>
      <c r="K125" s="5">
        <v>1000000</v>
      </c>
      <c r="L125" s="5">
        <v>9004477</v>
      </c>
      <c r="M125" s="5">
        <v>25826295</v>
      </c>
      <c r="N125" s="8">
        <v>0.28599999999999998</v>
      </c>
      <c r="O125" s="5">
        <v>4811040</v>
      </c>
      <c r="P125" s="76"/>
      <c r="Q125" s="9">
        <v>0.20785526622102499</v>
      </c>
      <c r="R125" s="2">
        <v>1.35</v>
      </c>
      <c r="S125" s="5">
        <v>740740.74074074067</v>
      </c>
      <c r="T125" s="5">
        <v>0</v>
      </c>
      <c r="U125" s="5">
        <v>1000000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30">
        <v>0</v>
      </c>
      <c r="AE125" s="27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10"/>
      <c r="AT125" s="10"/>
      <c r="AU125" s="10"/>
      <c r="AV125" s="10"/>
      <c r="AW125" s="10"/>
      <c r="AX125" s="11"/>
    </row>
    <row r="126" spans="1:50" x14ac:dyDescent="0.25">
      <c r="A126" s="47" t="s">
        <v>188</v>
      </c>
      <c r="B126" s="47" t="s">
        <v>189</v>
      </c>
      <c r="C126" s="63" t="s">
        <v>31</v>
      </c>
      <c r="D126" s="23" t="s">
        <v>185</v>
      </c>
      <c r="E126" s="64" t="s">
        <v>535</v>
      </c>
      <c r="F126" s="2" t="s">
        <v>41</v>
      </c>
      <c r="G126" s="31" t="s">
        <v>34</v>
      </c>
      <c r="H126" s="2" t="s">
        <v>35</v>
      </c>
      <c r="I126" s="44" t="s">
        <v>171</v>
      </c>
      <c r="J126" s="2" t="s">
        <v>166</v>
      </c>
      <c r="K126" s="5">
        <v>1000000</v>
      </c>
      <c r="L126" s="5">
        <v>13306250</v>
      </c>
      <c r="M126" s="5">
        <v>37534944</v>
      </c>
      <c r="N126" s="8">
        <v>0.20280699999999999</v>
      </c>
      <c r="O126" s="5">
        <v>4913749</v>
      </c>
      <c r="P126" s="76"/>
      <c r="Q126" s="9">
        <v>0.20351059852670539</v>
      </c>
      <c r="R126" s="2">
        <v>1.35</v>
      </c>
      <c r="S126" s="5">
        <v>740740.74074074067</v>
      </c>
      <c r="T126" s="5">
        <v>0</v>
      </c>
      <c r="U126" s="5">
        <v>1000000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30">
        <v>0</v>
      </c>
      <c r="AE126" s="27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10"/>
      <c r="AT126" s="10"/>
      <c r="AU126" s="10"/>
      <c r="AV126" s="10"/>
      <c r="AW126" s="10"/>
      <c r="AX126" s="11"/>
    </row>
    <row r="127" spans="1:50" x14ac:dyDescent="0.25">
      <c r="A127" s="47" t="s">
        <v>190</v>
      </c>
      <c r="B127" s="47" t="s">
        <v>191</v>
      </c>
      <c r="C127" s="2" t="s">
        <v>31</v>
      </c>
      <c r="D127" s="23" t="s">
        <v>55</v>
      </c>
      <c r="E127" s="62" t="s">
        <v>3</v>
      </c>
      <c r="F127" s="2" t="s">
        <v>33</v>
      </c>
      <c r="G127" s="31" t="s">
        <v>34</v>
      </c>
      <c r="H127" s="2" t="s">
        <v>35</v>
      </c>
      <c r="I127" s="44" t="s">
        <v>171</v>
      </c>
      <c r="J127" s="2" t="s">
        <v>166</v>
      </c>
      <c r="K127" s="5">
        <v>400000</v>
      </c>
      <c r="L127" s="5">
        <v>2077143.75</v>
      </c>
      <c r="M127" s="5">
        <v>12840882</v>
      </c>
      <c r="N127" s="8">
        <v>0.17469999999999999</v>
      </c>
      <c r="O127" s="5">
        <v>1880425</v>
      </c>
      <c r="P127" s="76"/>
      <c r="Q127" s="9">
        <v>0.21271786963053571</v>
      </c>
      <c r="R127" s="2">
        <v>1.35</v>
      </c>
      <c r="S127" s="5">
        <v>296296.29629629629</v>
      </c>
      <c r="T127" s="5">
        <v>200000</v>
      </c>
      <c r="U127" s="5">
        <v>0</v>
      </c>
      <c r="V127" s="5">
        <v>200000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30">
        <v>0</v>
      </c>
      <c r="AE127" s="27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10"/>
      <c r="AT127" s="10"/>
      <c r="AU127" s="10"/>
      <c r="AV127" s="10"/>
      <c r="AW127" s="10"/>
      <c r="AX127" s="11"/>
    </row>
    <row r="128" spans="1:50" x14ac:dyDescent="0.25">
      <c r="A128" s="47" t="s">
        <v>192</v>
      </c>
      <c r="B128" s="47" t="s">
        <v>193</v>
      </c>
      <c r="C128" s="2" t="s">
        <v>31</v>
      </c>
      <c r="D128" s="23" t="s">
        <v>55</v>
      </c>
      <c r="E128" s="64" t="s">
        <v>534</v>
      </c>
      <c r="F128" s="2" t="s">
        <v>41</v>
      </c>
      <c r="G128" s="31" t="s">
        <v>34</v>
      </c>
      <c r="H128" s="2" t="s">
        <v>35</v>
      </c>
      <c r="I128" s="44" t="s">
        <v>171</v>
      </c>
      <c r="J128" s="2" t="s">
        <v>166</v>
      </c>
      <c r="K128" s="5">
        <v>400000</v>
      </c>
      <c r="L128" s="5">
        <v>2077143.75</v>
      </c>
      <c r="M128" s="5">
        <v>12840882</v>
      </c>
      <c r="N128" s="8">
        <v>0.1746594667944612</v>
      </c>
      <c r="O128" s="5">
        <v>1880425</v>
      </c>
      <c r="P128" s="76"/>
      <c r="Q128" s="9">
        <v>0.21271786963053571</v>
      </c>
      <c r="R128" s="2">
        <v>1.35</v>
      </c>
      <c r="S128" s="5">
        <v>296296.29629629629</v>
      </c>
      <c r="T128" s="5">
        <v>0</v>
      </c>
      <c r="U128" s="5">
        <v>297000</v>
      </c>
      <c r="V128" s="5">
        <v>0</v>
      </c>
      <c r="W128" s="5">
        <v>0</v>
      </c>
      <c r="X128" s="5">
        <v>0</v>
      </c>
      <c r="Y128" s="5">
        <v>0</v>
      </c>
      <c r="Z128" s="5">
        <v>103000</v>
      </c>
      <c r="AA128" s="5">
        <v>0</v>
      </c>
      <c r="AB128" s="5">
        <v>0</v>
      </c>
      <c r="AC128" s="5">
        <v>0</v>
      </c>
      <c r="AD128" s="30">
        <v>0</v>
      </c>
      <c r="AE128" s="27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10"/>
      <c r="AT128" s="10"/>
      <c r="AU128" s="10"/>
      <c r="AV128" s="10"/>
      <c r="AW128" s="10"/>
      <c r="AX128" s="11"/>
    </row>
    <row r="129" spans="1:50" x14ac:dyDescent="0.25">
      <c r="A129" s="48" t="s">
        <v>194</v>
      </c>
      <c r="B129" s="48" t="s">
        <v>195</v>
      </c>
      <c r="C129" s="63" t="s">
        <v>31</v>
      </c>
      <c r="D129" s="23" t="s">
        <v>196</v>
      </c>
      <c r="E129" s="62" t="s">
        <v>3</v>
      </c>
      <c r="F129" s="2" t="s">
        <v>33</v>
      </c>
      <c r="G129" s="31" t="s">
        <v>34</v>
      </c>
      <c r="H129" s="2" t="s">
        <v>35</v>
      </c>
      <c r="I129" s="44" t="s">
        <v>171</v>
      </c>
      <c r="J129" s="2" t="s">
        <v>166</v>
      </c>
      <c r="K129" s="5">
        <v>500000</v>
      </c>
      <c r="L129" s="5">
        <v>8869137</v>
      </c>
      <c r="M129" s="5">
        <v>13098211</v>
      </c>
      <c r="N129" s="8">
        <v>0.62219999999999998</v>
      </c>
      <c r="O129" s="5">
        <v>2631330</v>
      </c>
      <c r="P129" s="76"/>
      <c r="Q129" s="9">
        <v>0.1900179757005013</v>
      </c>
      <c r="R129" s="2">
        <v>1.35</v>
      </c>
      <c r="S129" s="5">
        <v>370370.37037037028</v>
      </c>
      <c r="T129" s="5">
        <v>0</v>
      </c>
      <c r="U129" s="5">
        <v>0</v>
      </c>
      <c r="V129" s="5">
        <v>0</v>
      </c>
      <c r="W129" s="5">
        <v>500000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30">
        <v>0</v>
      </c>
      <c r="AE129" s="27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10"/>
      <c r="AT129" s="10"/>
      <c r="AU129" s="10"/>
      <c r="AV129" s="10"/>
      <c r="AW129" s="10"/>
      <c r="AX129" s="11"/>
    </row>
    <row r="130" spans="1:50" x14ac:dyDescent="0.25">
      <c r="A130" s="47" t="s">
        <v>197</v>
      </c>
      <c r="B130" s="47" t="s">
        <v>198</v>
      </c>
      <c r="C130" s="63" t="s">
        <v>51</v>
      </c>
      <c r="D130" s="23" t="s">
        <v>52</v>
      </c>
      <c r="E130" s="64" t="s">
        <v>534</v>
      </c>
      <c r="F130" s="2" t="s">
        <v>41</v>
      </c>
      <c r="G130" s="31" t="s">
        <v>48</v>
      </c>
      <c r="H130" s="2" t="s">
        <v>35</v>
      </c>
      <c r="I130" s="44" t="s">
        <v>171</v>
      </c>
      <c r="J130" s="2" t="s">
        <v>166</v>
      </c>
      <c r="K130" s="5">
        <v>500000</v>
      </c>
      <c r="L130" s="5">
        <v>24514854</v>
      </c>
      <c r="M130" s="5">
        <v>61890967</v>
      </c>
      <c r="N130" s="8">
        <v>7.0699999999999999E-2</v>
      </c>
      <c r="O130" s="5">
        <v>2642491</v>
      </c>
      <c r="P130" s="76"/>
      <c r="Q130" s="9">
        <v>0.1892154031934262</v>
      </c>
      <c r="R130" s="2">
        <v>1.35</v>
      </c>
      <c r="S130" s="5">
        <v>370370.37037037028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500000</v>
      </c>
      <c r="AA130" s="5">
        <v>0</v>
      </c>
      <c r="AB130" s="5">
        <v>0</v>
      </c>
      <c r="AC130" s="5">
        <v>0</v>
      </c>
      <c r="AD130" s="30">
        <v>0</v>
      </c>
      <c r="AE130" s="27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10"/>
      <c r="AT130" s="10"/>
      <c r="AU130" s="10"/>
      <c r="AV130" s="10"/>
      <c r="AW130" s="10"/>
      <c r="AX130" s="11"/>
    </row>
    <row r="131" spans="1:50" x14ac:dyDescent="0.25">
      <c r="A131" s="47" t="s">
        <v>199</v>
      </c>
      <c r="B131" s="47" t="s">
        <v>44</v>
      </c>
      <c r="C131" s="2" t="s">
        <v>31</v>
      </c>
      <c r="D131" s="23" t="s">
        <v>44</v>
      </c>
      <c r="E131" s="62" t="s">
        <v>3</v>
      </c>
      <c r="F131" s="2" t="s">
        <v>33</v>
      </c>
      <c r="G131" s="31" t="s">
        <v>34</v>
      </c>
      <c r="H131" s="2" t="s">
        <v>35</v>
      </c>
      <c r="I131" s="44" t="s">
        <v>171</v>
      </c>
      <c r="J131" s="2" t="s">
        <v>166</v>
      </c>
      <c r="K131" s="5">
        <v>3500000</v>
      </c>
      <c r="L131" s="5">
        <v>25922003.5</v>
      </c>
      <c r="M131" s="5">
        <v>61394042</v>
      </c>
      <c r="N131" s="8">
        <v>0.5665</v>
      </c>
      <c r="O131" s="5">
        <v>20094910</v>
      </c>
      <c r="P131" s="76"/>
      <c r="Q131" s="9">
        <v>0.17417345984629939</v>
      </c>
      <c r="R131" s="2">
        <v>1.35</v>
      </c>
      <c r="S131" s="5">
        <v>2592592.5925925919</v>
      </c>
      <c r="T131" s="5">
        <v>406671.73</v>
      </c>
      <c r="U131" s="5">
        <v>693328.27</v>
      </c>
      <c r="V131" s="5">
        <v>1100000</v>
      </c>
      <c r="W131" s="5">
        <v>1300000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30">
        <v>0</v>
      </c>
      <c r="AE131" s="27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10"/>
      <c r="AT131" s="10"/>
      <c r="AU131" s="10"/>
      <c r="AV131" s="10"/>
      <c r="AW131" s="10"/>
      <c r="AX131" s="11"/>
    </row>
    <row r="132" spans="1:50" x14ac:dyDescent="0.25">
      <c r="A132" s="47" t="s">
        <v>200</v>
      </c>
      <c r="B132" s="47" t="s">
        <v>201</v>
      </c>
      <c r="C132" s="2" t="s">
        <v>31</v>
      </c>
      <c r="D132" s="23" t="s">
        <v>44</v>
      </c>
      <c r="E132" s="64" t="s">
        <v>534</v>
      </c>
      <c r="F132" s="2" t="s">
        <v>41</v>
      </c>
      <c r="G132" s="31" t="s">
        <v>34</v>
      </c>
      <c r="H132" s="2" t="s">
        <v>35</v>
      </c>
      <c r="I132" s="44" t="s">
        <v>171</v>
      </c>
      <c r="J132" s="2" t="s">
        <v>166</v>
      </c>
      <c r="K132" s="5">
        <v>2000000</v>
      </c>
      <c r="L132" s="5">
        <v>25922003.5</v>
      </c>
      <c r="M132" s="5">
        <v>61394042</v>
      </c>
      <c r="N132" s="8">
        <v>0.32369999999999999</v>
      </c>
      <c r="O132" s="5">
        <v>11482299</v>
      </c>
      <c r="P132" s="76"/>
      <c r="Q132" s="9">
        <v>0.17418114612761779</v>
      </c>
      <c r="R132" s="2">
        <v>1.35</v>
      </c>
      <c r="S132" s="5">
        <v>1481481.4814814811</v>
      </c>
      <c r="T132" s="5">
        <v>0</v>
      </c>
      <c r="U132" s="5">
        <v>1550000</v>
      </c>
      <c r="V132" s="5">
        <v>0</v>
      </c>
      <c r="W132" s="5">
        <v>0</v>
      </c>
      <c r="X132" s="5">
        <v>0</v>
      </c>
      <c r="Y132" s="5">
        <v>0</v>
      </c>
      <c r="Z132" s="5">
        <v>450000</v>
      </c>
      <c r="AA132" s="5">
        <v>0</v>
      </c>
      <c r="AB132" s="5">
        <v>0</v>
      </c>
      <c r="AC132" s="5">
        <v>0</v>
      </c>
      <c r="AD132" s="30">
        <v>0</v>
      </c>
      <c r="AE132" s="27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10"/>
      <c r="AT132" s="10"/>
      <c r="AU132" s="10"/>
      <c r="AV132" s="10"/>
      <c r="AW132" s="10"/>
      <c r="AX132" s="11"/>
    </row>
    <row r="133" spans="1:50" x14ac:dyDescent="0.25">
      <c r="A133" s="47" t="s">
        <v>202</v>
      </c>
      <c r="B133" s="47" t="s">
        <v>203</v>
      </c>
      <c r="C133" s="63" t="s">
        <v>31</v>
      </c>
      <c r="D133" s="23" t="s">
        <v>40</v>
      </c>
      <c r="E133" s="62" t="s">
        <v>3</v>
      </c>
      <c r="F133" s="2" t="s">
        <v>33</v>
      </c>
      <c r="G133" s="31" t="s">
        <v>34</v>
      </c>
      <c r="H133" s="2" t="s">
        <v>35</v>
      </c>
      <c r="I133" s="44" t="s">
        <v>171</v>
      </c>
      <c r="J133" s="2" t="s">
        <v>166</v>
      </c>
      <c r="K133" s="5">
        <v>1695255</v>
      </c>
      <c r="L133" s="5">
        <v>24615260</v>
      </c>
      <c r="M133" s="5">
        <v>64615260</v>
      </c>
      <c r="N133" s="8">
        <v>0.2</v>
      </c>
      <c r="O133" s="5">
        <v>8000000</v>
      </c>
      <c r="P133" s="76">
        <v>4454244</v>
      </c>
      <c r="Q133" s="9">
        <v>0.21190687499999999</v>
      </c>
      <c r="R133" s="2">
        <v>1.35</v>
      </c>
      <c r="S133" s="5">
        <v>1255744.444444444</v>
      </c>
      <c r="T133" s="5">
        <v>440000</v>
      </c>
      <c r="U133" s="5">
        <v>960000</v>
      </c>
      <c r="V133" s="5">
        <v>0</v>
      </c>
      <c r="W133" s="5">
        <v>1000000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30">
        <v>0</v>
      </c>
      <c r="AE133" s="27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10"/>
      <c r="AT133" s="10"/>
      <c r="AU133" s="10"/>
      <c r="AV133" s="10"/>
      <c r="AW133" s="10"/>
      <c r="AX133" s="11"/>
    </row>
    <row r="134" spans="1:50" x14ac:dyDescent="0.25">
      <c r="A134" s="47" t="s">
        <v>204</v>
      </c>
      <c r="B134" s="47" t="s">
        <v>205</v>
      </c>
      <c r="C134" s="63" t="s">
        <v>31</v>
      </c>
      <c r="D134" s="23" t="s">
        <v>40</v>
      </c>
      <c r="E134" s="62" t="s">
        <v>3</v>
      </c>
      <c r="F134" s="2" t="s">
        <v>33</v>
      </c>
      <c r="G134" s="31" t="s">
        <v>48</v>
      </c>
      <c r="H134" s="2" t="s">
        <v>35</v>
      </c>
      <c r="I134" s="44" t="s">
        <v>171</v>
      </c>
      <c r="J134" s="2" t="s">
        <v>166</v>
      </c>
      <c r="K134" s="5">
        <v>704745</v>
      </c>
      <c r="L134" s="5">
        <v>61254590</v>
      </c>
      <c r="M134" s="5">
        <v>133041775</v>
      </c>
      <c r="N134" s="8">
        <v>4.0500000000000001E-2</v>
      </c>
      <c r="O134" s="5">
        <v>2907381</v>
      </c>
      <c r="P134" s="76"/>
      <c r="Q134" s="9">
        <v>0.24239857108511059</v>
      </c>
      <c r="R134" s="2">
        <v>1.35</v>
      </c>
      <c r="S134" s="5">
        <v>522033.33333333331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30">
        <v>0</v>
      </c>
      <c r="AE134" s="27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10"/>
      <c r="AT134" s="10"/>
      <c r="AU134" s="10"/>
      <c r="AV134" s="10"/>
      <c r="AW134" s="10"/>
      <c r="AX134" s="11"/>
    </row>
    <row r="135" spans="1:50" x14ac:dyDescent="0.25">
      <c r="A135" s="47" t="s">
        <v>206</v>
      </c>
      <c r="B135" s="47" t="s">
        <v>207</v>
      </c>
      <c r="C135" s="63" t="s">
        <v>31</v>
      </c>
      <c r="D135" s="23" t="s">
        <v>40</v>
      </c>
      <c r="E135" s="64" t="s">
        <v>534</v>
      </c>
      <c r="F135" s="2" t="s">
        <v>41</v>
      </c>
      <c r="G135" s="31" t="s">
        <v>34</v>
      </c>
      <c r="H135" s="2" t="s">
        <v>35</v>
      </c>
      <c r="I135" s="44" t="s">
        <v>171</v>
      </c>
      <c r="J135" s="2" t="s">
        <v>166</v>
      </c>
      <c r="K135" s="5">
        <v>1000000</v>
      </c>
      <c r="L135" s="5">
        <v>24615260</v>
      </c>
      <c r="M135" s="5">
        <v>64615260</v>
      </c>
      <c r="N135" s="8">
        <v>0.11799999999999999</v>
      </c>
      <c r="O135" s="5">
        <v>4720000</v>
      </c>
      <c r="P135" s="76">
        <v>2628004</v>
      </c>
      <c r="Q135" s="9">
        <v>0.21186440677966101</v>
      </c>
      <c r="R135" s="2">
        <v>1.35</v>
      </c>
      <c r="S135" s="5">
        <v>740740.74074074067</v>
      </c>
      <c r="T135" s="5">
        <v>0</v>
      </c>
      <c r="U135" s="5">
        <v>717000</v>
      </c>
      <c r="V135" s="5">
        <v>0</v>
      </c>
      <c r="W135" s="5">
        <v>0</v>
      </c>
      <c r="X135" s="5">
        <v>0</v>
      </c>
      <c r="Y135" s="5">
        <v>0</v>
      </c>
      <c r="Z135" s="5">
        <v>283000</v>
      </c>
      <c r="AA135" s="5">
        <v>0</v>
      </c>
      <c r="AB135" s="5">
        <v>0</v>
      </c>
      <c r="AC135" s="5">
        <v>0</v>
      </c>
      <c r="AD135" s="30">
        <v>0</v>
      </c>
      <c r="AE135" s="27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10"/>
      <c r="AT135" s="10"/>
      <c r="AU135" s="10"/>
      <c r="AV135" s="10"/>
      <c r="AW135" s="10"/>
      <c r="AX135" s="11"/>
    </row>
    <row r="136" spans="1:50" x14ac:dyDescent="0.25">
      <c r="A136" s="47" t="s">
        <v>208</v>
      </c>
      <c r="B136" s="47" t="s">
        <v>209</v>
      </c>
      <c r="C136" s="2" t="s">
        <v>31</v>
      </c>
      <c r="D136" s="23" t="s">
        <v>47</v>
      </c>
      <c r="E136" s="62" t="s">
        <v>3</v>
      </c>
      <c r="F136" s="2" t="s">
        <v>33</v>
      </c>
      <c r="G136" s="31" t="s">
        <v>34</v>
      </c>
      <c r="H136" s="2" t="s">
        <v>35</v>
      </c>
      <c r="I136" s="44" t="s">
        <v>171</v>
      </c>
      <c r="J136" s="2" t="s">
        <v>166</v>
      </c>
      <c r="K136" s="5">
        <v>1800000</v>
      </c>
      <c r="L136" s="5">
        <v>31158855</v>
      </c>
      <c r="M136" s="5">
        <v>53404528</v>
      </c>
      <c r="N136" s="8">
        <v>0.35360000000000003</v>
      </c>
      <c r="O136" s="5">
        <v>7866070</v>
      </c>
      <c r="P136" s="76"/>
      <c r="Q136" s="9">
        <v>0.22883091556520599</v>
      </c>
      <c r="R136" s="2">
        <v>1.35</v>
      </c>
      <c r="S136" s="5">
        <v>1333333.333333333</v>
      </c>
      <c r="T136" s="5">
        <v>750000</v>
      </c>
      <c r="U136" s="5">
        <v>400000</v>
      </c>
      <c r="V136" s="5">
        <v>0</v>
      </c>
      <c r="W136" s="5">
        <v>650000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30">
        <v>0</v>
      </c>
      <c r="AE136" s="27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10"/>
      <c r="AT136" s="10"/>
      <c r="AU136" s="10"/>
      <c r="AV136" s="10"/>
      <c r="AW136" s="10"/>
      <c r="AX136" s="11"/>
    </row>
    <row r="137" spans="1:50" x14ac:dyDescent="0.25">
      <c r="A137" s="47" t="s">
        <v>210</v>
      </c>
      <c r="B137" s="47" t="s">
        <v>211</v>
      </c>
      <c r="C137" s="2" t="s">
        <v>31</v>
      </c>
      <c r="D137" s="23" t="s">
        <v>47</v>
      </c>
      <c r="E137" s="64" t="s">
        <v>534</v>
      </c>
      <c r="F137" s="2" t="s">
        <v>41</v>
      </c>
      <c r="G137" s="31" t="s">
        <v>34</v>
      </c>
      <c r="H137" s="2" t="s">
        <v>35</v>
      </c>
      <c r="I137" s="44" t="s">
        <v>171</v>
      </c>
      <c r="J137" s="2" t="s">
        <v>166</v>
      </c>
      <c r="K137" s="5">
        <v>500000</v>
      </c>
      <c r="L137" s="5">
        <v>31158855</v>
      </c>
      <c r="M137" s="5">
        <v>53404528</v>
      </c>
      <c r="N137" s="8">
        <v>9.8199999999999996E-2</v>
      </c>
      <c r="O137" s="5">
        <v>2184525.0885999999</v>
      </c>
      <c r="P137" s="76"/>
      <c r="Q137" s="9">
        <v>0.22888269977271619</v>
      </c>
      <c r="R137" s="2">
        <v>1.35</v>
      </c>
      <c r="S137" s="5">
        <v>370370.37037037028</v>
      </c>
      <c r="T137" s="5">
        <v>0</v>
      </c>
      <c r="U137" s="5">
        <v>235500</v>
      </c>
      <c r="V137" s="5">
        <v>0</v>
      </c>
      <c r="W137" s="5">
        <v>0</v>
      </c>
      <c r="X137" s="5">
        <v>0</v>
      </c>
      <c r="Y137" s="5">
        <v>0</v>
      </c>
      <c r="Z137" s="5">
        <v>264500</v>
      </c>
      <c r="AA137" s="5">
        <v>0</v>
      </c>
      <c r="AB137" s="5">
        <v>0</v>
      </c>
      <c r="AC137" s="5">
        <v>0</v>
      </c>
      <c r="AD137" s="30">
        <v>0</v>
      </c>
      <c r="AE137" s="27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10"/>
      <c r="AT137" s="10"/>
      <c r="AU137" s="10"/>
      <c r="AV137" s="10"/>
      <c r="AW137" s="10"/>
      <c r="AX137" s="11"/>
    </row>
    <row r="138" spans="1:50" x14ac:dyDescent="0.25">
      <c r="A138" s="47" t="s">
        <v>212</v>
      </c>
      <c r="B138" s="47" t="s">
        <v>213</v>
      </c>
      <c r="C138" s="2" t="s">
        <v>31</v>
      </c>
      <c r="D138" s="23" t="s">
        <v>47</v>
      </c>
      <c r="E138" s="62" t="s">
        <v>3</v>
      </c>
      <c r="F138" s="2" t="s">
        <v>33</v>
      </c>
      <c r="G138" s="31" t="s">
        <v>48</v>
      </c>
      <c r="H138" s="2" t="s">
        <v>35</v>
      </c>
      <c r="I138" s="44" t="s">
        <v>171</v>
      </c>
      <c r="J138" s="2" t="s">
        <v>166</v>
      </c>
      <c r="K138" s="5">
        <v>500000</v>
      </c>
      <c r="L138" s="5">
        <v>30934650</v>
      </c>
      <c r="M138" s="5">
        <v>38302646</v>
      </c>
      <c r="N138" s="8">
        <v>0.37369999999999998</v>
      </c>
      <c r="O138" s="5">
        <v>2753420</v>
      </c>
      <c r="P138" s="76"/>
      <c r="Q138" s="9">
        <v>0.1815923469721292</v>
      </c>
      <c r="R138" s="2">
        <v>1.35</v>
      </c>
      <c r="S138" s="5">
        <v>370370.37037037028</v>
      </c>
      <c r="T138" s="5">
        <v>0</v>
      </c>
      <c r="U138" s="5">
        <v>400000</v>
      </c>
      <c r="V138" s="5">
        <v>0</v>
      </c>
      <c r="W138" s="5">
        <v>100000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30">
        <v>0</v>
      </c>
      <c r="AE138" s="27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10"/>
      <c r="AT138" s="10"/>
      <c r="AU138" s="10"/>
      <c r="AV138" s="10"/>
      <c r="AW138" s="10"/>
      <c r="AX138" s="11"/>
    </row>
    <row r="139" spans="1:50" x14ac:dyDescent="0.25">
      <c r="A139" s="47" t="s">
        <v>214</v>
      </c>
      <c r="B139" s="47" t="s">
        <v>215</v>
      </c>
      <c r="C139" s="2" t="s">
        <v>31</v>
      </c>
      <c r="D139" s="23" t="s">
        <v>47</v>
      </c>
      <c r="E139" s="64" t="s">
        <v>534</v>
      </c>
      <c r="F139" s="2" t="s">
        <v>41</v>
      </c>
      <c r="G139" s="31" t="s">
        <v>48</v>
      </c>
      <c r="H139" s="2" t="s">
        <v>35</v>
      </c>
      <c r="I139" s="44" t="s">
        <v>171</v>
      </c>
      <c r="J139" s="2" t="s">
        <v>166</v>
      </c>
      <c r="K139" s="5">
        <v>500000</v>
      </c>
      <c r="L139" s="5">
        <v>30934650</v>
      </c>
      <c r="M139" s="5">
        <v>38302646</v>
      </c>
      <c r="N139" s="8">
        <v>0.37369999999999998</v>
      </c>
      <c r="O139" s="5">
        <v>2753420</v>
      </c>
      <c r="P139" s="76"/>
      <c r="Q139" s="9">
        <v>0.1815923469721292</v>
      </c>
      <c r="R139" s="2">
        <v>1.35</v>
      </c>
      <c r="S139" s="5">
        <v>370370.37037037028</v>
      </c>
      <c r="T139" s="5">
        <v>0</v>
      </c>
      <c r="U139" s="5">
        <v>235500</v>
      </c>
      <c r="V139" s="5">
        <v>0</v>
      </c>
      <c r="W139" s="5">
        <v>0</v>
      </c>
      <c r="X139" s="5">
        <v>0</v>
      </c>
      <c r="Y139" s="5">
        <v>0</v>
      </c>
      <c r="Z139" s="5">
        <v>264500</v>
      </c>
      <c r="AA139" s="5">
        <v>0</v>
      </c>
      <c r="AB139" s="5">
        <v>0</v>
      </c>
      <c r="AC139" s="5">
        <v>0</v>
      </c>
      <c r="AD139" s="30">
        <v>0</v>
      </c>
      <c r="AE139" s="27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10"/>
      <c r="AT139" s="10"/>
      <c r="AU139" s="10"/>
      <c r="AV139" s="10"/>
      <c r="AW139" s="10"/>
      <c r="AX139" s="11"/>
    </row>
    <row r="140" spans="1:50" x14ac:dyDescent="0.25">
      <c r="A140" s="47" t="s">
        <v>216</v>
      </c>
      <c r="B140" s="47" t="s">
        <v>217</v>
      </c>
      <c r="C140" s="2" t="s">
        <v>31</v>
      </c>
      <c r="D140" s="23" t="s">
        <v>218</v>
      </c>
      <c r="E140" s="62" t="s">
        <v>3</v>
      </c>
      <c r="F140" s="2" t="s">
        <v>33</v>
      </c>
      <c r="G140" s="31" t="s">
        <v>34</v>
      </c>
      <c r="H140" s="2" t="s">
        <v>35</v>
      </c>
      <c r="I140" s="44" t="s">
        <v>171</v>
      </c>
      <c r="J140" s="2" t="s">
        <v>166</v>
      </c>
      <c r="K140" s="5">
        <v>1000000</v>
      </c>
      <c r="L140" s="5">
        <v>80826555</v>
      </c>
      <c r="M140" s="5">
        <v>236731444</v>
      </c>
      <c r="N140" s="8">
        <v>4.4999999999999998E-2</v>
      </c>
      <c r="O140" s="5">
        <v>7015720</v>
      </c>
      <c r="P140" s="76"/>
      <c r="Q140" s="9">
        <v>0.14253704537809381</v>
      </c>
      <c r="R140" s="2">
        <v>1.35</v>
      </c>
      <c r="S140" s="5">
        <v>740740.74074074067</v>
      </c>
      <c r="T140" s="5">
        <v>350000</v>
      </c>
      <c r="U140" s="5">
        <v>0</v>
      </c>
      <c r="V140" s="5">
        <v>350000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30">
        <v>0</v>
      </c>
      <c r="AE140" s="27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10"/>
      <c r="AT140" s="10"/>
      <c r="AU140" s="10"/>
      <c r="AV140" s="10"/>
      <c r="AW140" s="10"/>
      <c r="AX140" s="11"/>
    </row>
    <row r="141" spans="1:50" x14ac:dyDescent="0.25">
      <c r="A141" s="47" t="s">
        <v>219</v>
      </c>
      <c r="B141" s="47" t="s">
        <v>220</v>
      </c>
      <c r="C141" s="2" t="s">
        <v>31</v>
      </c>
      <c r="D141" s="23" t="s">
        <v>218</v>
      </c>
      <c r="E141" s="62" t="s">
        <v>3</v>
      </c>
      <c r="F141" s="2" t="s">
        <v>33</v>
      </c>
      <c r="G141" s="31" t="s">
        <v>48</v>
      </c>
      <c r="H141" s="2" t="s">
        <v>35</v>
      </c>
      <c r="I141" s="44" t="s">
        <v>171</v>
      </c>
      <c r="J141" s="2" t="s">
        <v>166</v>
      </c>
      <c r="K141" s="5">
        <v>400000</v>
      </c>
      <c r="L141" s="5">
        <v>18356845.25</v>
      </c>
      <c r="M141" s="5">
        <v>39913204</v>
      </c>
      <c r="N141" s="13">
        <v>9.1999999999999998E-2</v>
      </c>
      <c r="O141" s="5">
        <v>1983185</v>
      </c>
      <c r="P141" s="76"/>
      <c r="Q141" s="9">
        <v>0.20169575707763021</v>
      </c>
      <c r="R141" s="2">
        <v>1.35</v>
      </c>
      <c r="S141" s="5">
        <v>296296.29629629629</v>
      </c>
      <c r="T141" s="5">
        <v>350000</v>
      </c>
      <c r="U141" s="5">
        <v>0</v>
      </c>
      <c r="V141" s="5">
        <v>350000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30">
        <v>0</v>
      </c>
      <c r="AE141" s="27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10"/>
      <c r="AT141" s="10"/>
      <c r="AU141" s="10"/>
      <c r="AV141" s="10"/>
      <c r="AW141" s="10"/>
      <c r="AX141" s="11"/>
    </row>
    <row r="142" spans="1:50" x14ac:dyDescent="0.25">
      <c r="A142" s="47" t="s">
        <v>221</v>
      </c>
      <c r="B142" s="47" t="s">
        <v>98</v>
      </c>
      <c r="C142" s="63" t="s">
        <v>51</v>
      </c>
      <c r="D142" s="23" t="s">
        <v>98</v>
      </c>
      <c r="E142" s="62" t="s">
        <v>3</v>
      </c>
      <c r="F142" s="2" t="s">
        <v>33</v>
      </c>
      <c r="G142" s="31" t="s">
        <v>34</v>
      </c>
      <c r="H142" s="2" t="s">
        <v>35</v>
      </c>
      <c r="I142" s="44" t="s">
        <v>165</v>
      </c>
      <c r="J142" s="2" t="s">
        <v>166</v>
      </c>
      <c r="K142" s="5">
        <v>500000</v>
      </c>
      <c r="L142" s="5">
        <v>43611948</v>
      </c>
      <c r="M142" s="5">
        <v>57690755</v>
      </c>
      <c r="N142" s="13">
        <v>0.18779999999999999</v>
      </c>
      <c r="O142" s="5">
        <v>2644000</v>
      </c>
      <c r="P142" s="76"/>
      <c r="Q142" s="9">
        <v>0.18910741301059</v>
      </c>
      <c r="R142" s="2">
        <v>1.35</v>
      </c>
      <c r="S142" s="5">
        <v>370370.37037037028</v>
      </c>
      <c r="T142" s="5">
        <v>250000</v>
      </c>
      <c r="U142" s="5">
        <v>0</v>
      </c>
      <c r="V142" s="5">
        <v>250000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30">
        <v>0</v>
      </c>
      <c r="AE142" s="27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10"/>
      <c r="AT142" s="10"/>
      <c r="AU142" s="10"/>
      <c r="AV142" s="10"/>
      <c r="AW142" s="10"/>
      <c r="AX142" s="11"/>
    </row>
    <row r="143" spans="1:50" x14ac:dyDescent="0.25">
      <c r="A143" s="47" t="s">
        <v>222</v>
      </c>
      <c r="B143" s="47" t="s">
        <v>223</v>
      </c>
      <c r="C143" s="63" t="s">
        <v>51</v>
      </c>
      <c r="D143" s="23" t="s">
        <v>98</v>
      </c>
      <c r="E143" s="64" t="s">
        <v>534</v>
      </c>
      <c r="F143" s="2" t="s">
        <v>41</v>
      </c>
      <c r="G143" s="31" t="s">
        <v>34</v>
      </c>
      <c r="H143" s="2" t="s">
        <v>35</v>
      </c>
      <c r="I143" s="44" t="s">
        <v>165</v>
      </c>
      <c r="J143" s="2" t="s">
        <v>166</v>
      </c>
      <c r="K143" s="5">
        <v>750000</v>
      </c>
      <c r="L143" s="5" t="s">
        <v>224</v>
      </c>
      <c r="M143" s="5" t="s">
        <v>225</v>
      </c>
      <c r="N143" s="13">
        <v>0.28170000000000001</v>
      </c>
      <c r="O143" s="5">
        <v>3966000</v>
      </c>
      <c r="P143" s="76"/>
      <c r="Q143" s="9">
        <v>0.18910741301059</v>
      </c>
      <c r="R143" s="2">
        <v>1.35</v>
      </c>
      <c r="S143" s="5">
        <v>555555.5555555555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750000</v>
      </c>
      <c r="AA143" s="5">
        <v>0</v>
      </c>
      <c r="AB143" s="5">
        <v>0</v>
      </c>
      <c r="AC143" s="5">
        <v>0</v>
      </c>
      <c r="AD143" s="30">
        <v>0</v>
      </c>
      <c r="AE143" s="27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10"/>
      <c r="AT143" s="10"/>
      <c r="AU143" s="10"/>
      <c r="AV143" s="10"/>
      <c r="AW143" s="10"/>
      <c r="AX143" s="11"/>
    </row>
    <row r="144" spans="1:50" x14ac:dyDescent="0.25">
      <c r="A144" s="47" t="s">
        <v>226</v>
      </c>
      <c r="B144" s="47" t="s">
        <v>227</v>
      </c>
      <c r="C144" s="63" t="s">
        <v>51</v>
      </c>
      <c r="D144" s="23" t="s">
        <v>98</v>
      </c>
      <c r="E144" s="62" t="s">
        <v>3</v>
      </c>
      <c r="F144" s="2" t="s">
        <v>33</v>
      </c>
      <c r="G144" s="2" t="s">
        <v>616</v>
      </c>
      <c r="H144" s="2" t="s">
        <v>103</v>
      </c>
      <c r="I144" s="44" t="s">
        <v>165</v>
      </c>
      <c r="J144" s="2" t="s">
        <v>166</v>
      </c>
      <c r="K144" s="5">
        <v>2000000</v>
      </c>
      <c r="L144" s="5">
        <v>180699608</v>
      </c>
      <c r="M144" s="5">
        <v>2214389852</v>
      </c>
      <c r="N144" s="13">
        <v>4.1000000000000003E-3</v>
      </c>
      <c r="O144" s="5">
        <v>8338130</v>
      </c>
      <c r="P144" s="76"/>
      <c r="Q144" s="9">
        <v>0.2398619354699435</v>
      </c>
      <c r="R144" s="2">
        <v>1.35</v>
      </c>
      <c r="S144" s="5">
        <v>1481481.4814814811</v>
      </c>
      <c r="T144" s="5">
        <v>0</v>
      </c>
      <c r="U144" s="5">
        <v>0</v>
      </c>
      <c r="V144" s="5">
        <v>500000</v>
      </c>
      <c r="W144" s="5">
        <v>1500000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30">
        <v>0</v>
      </c>
      <c r="AE144" s="27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10"/>
      <c r="AT144" s="10"/>
      <c r="AU144" s="10"/>
      <c r="AV144" s="10"/>
      <c r="AW144" s="10"/>
      <c r="AX144" s="11"/>
    </row>
    <row r="145" spans="1:50" x14ac:dyDescent="0.25">
      <c r="A145" s="47" t="s">
        <v>228</v>
      </c>
      <c r="B145" s="47" t="s">
        <v>229</v>
      </c>
      <c r="C145" s="63" t="s">
        <v>51</v>
      </c>
      <c r="D145" s="23" t="s">
        <v>98</v>
      </c>
      <c r="E145" s="53" t="s">
        <v>535</v>
      </c>
      <c r="F145" s="2" t="s">
        <v>41</v>
      </c>
      <c r="G145" s="2" t="s">
        <v>616</v>
      </c>
      <c r="H145" s="2" t="s">
        <v>103</v>
      </c>
      <c r="I145" s="44" t="s">
        <v>165</v>
      </c>
      <c r="J145" s="2" t="s">
        <v>166</v>
      </c>
      <c r="K145" s="5">
        <v>1000000</v>
      </c>
      <c r="L145" s="5">
        <v>180699608</v>
      </c>
      <c r="M145" s="5">
        <v>2214389852</v>
      </c>
      <c r="N145" s="13">
        <v>2.0500000000000002E-3</v>
      </c>
      <c r="O145" s="5">
        <v>4169065</v>
      </c>
      <c r="P145" s="76"/>
      <c r="Q145" s="9">
        <v>0.2398619354699435</v>
      </c>
      <c r="R145" s="2">
        <v>1.35</v>
      </c>
      <c r="S145" s="5">
        <v>740740.74074074067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1000000</v>
      </c>
      <c r="Z145" s="5">
        <v>0</v>
      </c>
      <c r="AA145" s="5">
        <v>0</v>
      </c>
      <c r="AB145" s="5">
        <v>0</v>
      </c>
      <c r="AC145" s="5">
        <v>0</v>
      </c>
      <c r="AD145" s="30">
        <v>0</v>
      </c>
      <c r="AE145" s="27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10"/>
      <c r="AT145" s="10"/>
      <c r="AU145" s="10"/>
      <c r="AV145" s="10"/>
      <c r="AW145" s="10"/>
      <c r="AX145" s="11"/>
    </row>
    <row r="146" spans="1:50" x14ac:dyDescent="0.25">
      <c r="A146" s="47" t="s">
        <v>230</v>
      </c>
      <c r="B146" s="47" t="s">
        <v>231</v>
      </c>
      <c r="C146" s="63" t="s">
        <v>51</v>
      </c>
      <c r="D146" s="23" t="s">
        <v>98</v>
      </c>
      <c r="E146" s="64" t="s">
        <v>534</v>
      </c>
      <c r="F146" s="2" t="s">
        <v>41</v>
      </c>
      <c r="G146" s="2" t="s">
        <v>616</v>
      </c>
      <c r="H146" s="2" t="s">
        <v>103</v>
      </c>
      <c r="I146" s="44" t="s">
        <v>165</v>
      </c>
      <c r="J146" s="2" t="s">
        <v>166</v>
      </c>
      <c r="K146" s="5">
        <v>750000</v>
      </c>
      <c r="L146" s="5">
        <v>253443283</v>
      </c>
      <c r="M146" s="5">
        <v>2610187185</v>
      </c>
      <c r="N146" s="13">
        <v>1.64E-3</v>
      </c>
      <c r="O146" s="5">
        <v>3865060</v>
      </c>
      <c r="P146" s="76"/>
      <c r="Q146" s="9">
        <v>0.1940461467609817</v>
      </c>
      <c r="R146" s="2">
        <v>1.35</v>
      </c>
      <c r="S146" s="5">
        <v>555555.5555555555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750000</v>
      </c>
      <c r="AA146" s="5">
        <v>0</v>
      </c>
      <c r="AB146" s="5">
        <v>0</v>
      </c>
      <c r="AC146" s="5">
        <v>0</v>
      </c>
      <c r="AD146" s="30">
        <v>0</v>
      </c>
      <c r="AE146" s="27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10"/>
      <c r="AT146" s="10"/>
      <c r="AU146" s="10"/>
      <c r="AV146" s="10"/>
      <c r="AW146" s="10"/>
      <c r="AX146" s="11"/>
    </row>
    <row r="147" spans="1:50" x14ac:dyDescent="0.25">
      <c r="A147" s="48" t="s">
        <v>232</v>
      </c>
      <c r="B147" s="48" t="s">
        <v>233</v>
      </c>
      <c r="C147" s="63" t="s">
        <v>51</v>
      </c>
      <c r="D147" s="23" t="s">
        <v>110</v>
      </c>
      <c r="E147" s="62" t="s">
        <v>3</v>
      </c>
      <c r="F147" s="2" t="s">
        <v>33</v>
      </c>
      <c r="G147" s="31" t="s">
        <v>34</v>
      </c>
      <c r="H147" s="2" t="s">
        <v>35</v>
      </c>
      <c r="I147" s="44" t="s">
        <v>165</v>
      </c>
      <c r="J147" s="2" t="s">
        <v>166</v>
      </c>
      <c r="K147" s="5">
        <v>420000</v>
      </c>
      <c r="L147" s="5">
        <v>1035500</v>
      </c>
      <c r="M147" s="5">
        <v>8795521</v>
      </c>
      <c r="N147" s="13">
        <v>0.4274</v>
      </c>
      <c r="O147" s="5">
        <v>3316633</v>
      </c>
      <c r="P147" s="76">
        <v>2363837.4212000002</v>
      </c>
      <c r="Q147" s="9">
        <v>0.12663445126427919</v>
      </c>
      <c r="R147" s="2">
        <v>1.35</v>
      </c>
      <c r="S147" s="5">
        <v>311111.11111111112</v>
      </c>
      <c r="T147" s="5">
        <v>250000</v>
      </c>
      <c r="U147" s="5">
        <v>0</v>
      </c>
      <c r="V147" s="5">
        <v>1800000</v>
      </c>
      <c r="W147" s="5">
        <v>750000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30">
        <v>0</v>
      </c>
      <c r="AE147" s="27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10"/>
      <c r="AT147" s="10"/>
      <c r="AU147" s="10"/>
      <c r="AV147" s="10"/>
      <c r="AW147" s="10"/>
      <c r="AX147" s="11"/>
    </row>
    <row r="148" spans="1:50" x14ac:dyDescent="0.25">
      <c r="A148" s="48" t="s">
        <v>234</v>
      </c>
      <c r="B148" s="48" t="s">
        <v>235</v>
      </c>
      <c r="C148" s="63" t="s">
        <v>51</v>
      </c>
      <c r="D148" s="23" t="s">
        <v>110</v>
      </c>
      <c r="E148" s="62" t="s">
        <v>3</v>
      </c>
      <c r="F148" s="2" t="s">
        <v>33</v>
      </c>
      <c r="G148" s="31" t="s">
        <v>34</v>
      </c>
      <c r="H148" s="2" t="s">
        <v>35</v>
      </c>
      <c r="I148" s="44" t="s">
        <v>165</v>
      </c>
      <c r="J148" s="2" t="s">
        <v>166</v>
      </c>
      <c r="K148" s="5">
        <v>420000</v>
      </c>
      <c r="L148" s="5">
        <v>28902531</v>
      </c>
      <c r="M148" s="5">
        <v>145761373</v>
      </c>
      <c r="N148" s="13">
        <v>1.9E-2</v>
      </c>
      <c r="O148" s="5">
        <v>2220318</v>
      </c>
      <c r="P148" s="76">
        <v>683444.30700000003</v>
      </c>
      <c r="Q148" s="9">
        <v>0.18916209299748951</v>
      </c>
      <c r="R148" s="2">
        <v>1.35</v>
      </c>
      <c r="S148" s="5">
        <v>311111.11111111112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30">
        <v>0</v>
      </c>
      <c r="AE148" s="27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10"/>
      <c r="AT148" s="10"/>
      <c r="AU148" s="10"/>
      <c r="AV148" s="10"/>
      <c r="AW148" s="10"/>
      <c r="AX148" s="11"/>
    </row>
    <row r="149" spans="1:50" x14ac:dyDescent="0.25">
      <c r="A149" s="48" t="s">
        <v>236</v>
      </c>
      <c r="B149" s="48" t="s">
        <v>237</v>
      </c>
      <c r="C149" s="63" t="s">
        <v>51</v>
      </c>
      <c r="D149" s="23" t="s">
        <v>110</v>
      </c>
      <c r="E149" s="62" t="s">
        <v>3</v>
      </c>
      <c r="F149" s="2" t="s">
        <v>33</v>
      </c>
      <c r="G149" s="31" t="s">
        <v>34</v>
      </c>
      <c r="H149" s="2" t="s">
        <v>35</v>
      </c>
      <c r="I149" s="44" t="s">
        <v>165</v>
      </c>
      <c r="J149" s="2" t="s">
        <v>166</v>
      </c>
      <c r="K149" s="5">
        <v>840000</v>
      </c>
      <c r="L149" s="5">
        <v>41494142</v>
      </c>
      <c r="M149" s="5">
        <v>122283058</v>
      </c>
      <c r="N149" s="13">
        <v>4.8899999999999999E-2</v>
      </c>
      <c r="O149" s="5">
        <v>3950578</v>
      </c>
      <c r="P149" s="76">
        <v>3918244.2365999999</v>
      </c>
      <c r="Q149" s="9">
        <v>0.21262711431086789</v>
      </c>
      <c r="R149" s="2">
        <v>1.35</v>
      </c>
      <c r="S149" s="5">
        <v>622222.22222222213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30">
        <v>0</v>
      </c>
      <c r="AE149" s="27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10"/>
      <c r="AT149" s="10"/>
      <c r="AU149" s="10"/>
      <c r="AV149" s="10"/>
      <c r="AW149" s="10"/>
      <c r="AX149" s="11"/>
    </row>
    <row r="150" spans="1:50" x14ac:dyDescent="0.25">
      <c r="A150" s="48" t="s">
        <v>238</v>
      </c>
      <c r="B150" s="48" t="s">
        <v>239</v>
      </c>
      <c r="C150" s="63" t="s">
        <v>51</v>
      </c>
      <c r="D150" s="23" t="s">
        <v>110</v>
      </c>
      <c r="E150" s="62" t="s">
        <v>3</v>
      </c>
      <c r="F150" s="2" t="s">
        <v>33</v>
      </c>
      <c r="G150" s="31" t="s">
        <v>34</v>
      </c>
      <c r="H150" s="2" t="s">
        <v>35</v>
      </c>
      <c r="I150" s="44" t="s">
        <v>165</v>
      </c>
      <c r="J150" s="2" t="s">
        <v>166</v>
      </c>
      <c r="K150" s="5">
        <v>1120000</v>
      </c>
      <c r="L150" s="5">
        <v>8425862</v>
      </c>
      <c r="M150" s="5">
        <v>18700529</v>
      </c>
      <c r="N150" s="13">
        <v>0.41220000000000001</v>
      </c>
      <c r="O150" s="5">
        <v>4235218</v>
      </c>
      <c r="P150" s="76">
        <v>4235218</v>
      </c>
      <c r="Q150" s="9">
        <v>0.26444919718418269</v>
      </c>
      <c r="R150" s="2">
        <v>1.35</v>
      </c>
      <c r="S150" s="5">
        <v>829629.62962962955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30">
        <v>0</v>
      </c>
      <c r="AE150" s="27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10"/>
      <c r="AT150" s="10"/>
      <c r="AU150" s="10"/>
      <c r="AV150" s="10"/>
      <c r="AW150" s="10"/>
      <c r="AX150" s="11"/>
    </row>
    <row r="151" spans="1:50" x14ac:dyDescent="0.25">
      <c r="A151" s="48" t="s">
        <v>240</v>
      </c>
      <c r="B151" s="48" t="s">
        <v>241</v>
      </c>
      <c r="C151" s="63" t="s">
        <v>51</v>
      </c>
      <c r="D151" s="23" t="s">
        <v>110</v>
      </c>
      <c r="E151" s="53" t="s">
        <v>536</v>
      </c>
      <c r="F151" s="2" t="s">
        <v>41</v>
      </c>
      <c r="G151" s="31" t="s">
        <v>34</v>
      </c>
      <c r="H151" s="2" t="s">
        <v>35</v>
      </c>
      <c r="I151" s="44" t="s">
        <v>165</v>
      </c>
      <c r="J151" s="2" t="s">
        <v>166</v>
      </c>
      <c r="K151" s="5">
        <v>250000</v>
      </c>
      <c r="L151" s="5">
        <v>28902531</v>
      </c>
      <c r="M151" s="5">
        <v>144633560</v>
      </c>
      <c r="N151" s="13">
        <v>1.1333330000000001E-2</v>
      </c>
      <c r="O151" s="5">
        <v>1311618</v>
      </c>
      <c r="P151" s="76">
        <v>407668.41409749002</v>
      </c>
      <c r="Q151" s="9">
        <v>0.19060427655003209</v>
      </c>
      <c r="R151" s="2">
        <v>1.35</v>
      </c>
      <c r="S151" s="5">
        <v>185185.1851851852</v>
      </c>
      <c r="T151" s="5">
        <v>0</v>
      </c>
      <c r="U151" s="5">
        <v>250000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30">
        <v>0</v>
      </c>
      <c r="AE151" s="27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10"/>
      <c r="AT151" s="10"/>
      <c r="AU151" s="10"/>
      <c r="AV151" s="10"/>
      <c r="AW151" s="10"/>
      <c r="AX151" s="11"/>
    </row>
    <row r="152" spans="1:50" x14ac:dyDescent="0.25">
      <c r="A152" s="48" t="s">
        <v>242</v>
      </c>
      <c r="B152" s="48" t="s">
        <v>243</v>
      </c>
      <c r="C152" s="63" t="s">
        <v>51</v>
      </c>
      <c r="D152" s="23" t="s">
        <v>110</v>
      </c>
      <c r="E152" s="62" t="s">
        <v>3</v>
      </c>
      <c r="F152" s="2" t="s">
        <v>33</v>
      </c>
      <c r="G152" s="31" t="s">
        <v>34</v>
      </c>
      <c r="H152" s="2" t="s">
        <v>35</v>
      </c>
      <c r="I152" s="44" t="s">
        <v>165</v>
      </c>
      <c r="J152" s="2" t="s">
        <v>166</v>
      </c>
      <c r="K152" s="5">
        <v>250000</v>
      </c>
      <c r="L152" s="5">
        <v>37591665.899999999</v>
      </c>
      <c r="M152" s="5">
        <v>125537511</v>
      </c>
      <c r="N152" s="13">
        <v>3.0262020000000001E-2</v>
      </c>
      <c r="O152" s="5">
        <v>2661419</v>
      </c>
      <c r="P152" s="76"/>
      <c r="Q152" s="9">
        <v>9.3934852046971939E-2</v>
      </c>
      <c r="R152" s="2">
        <v>1.35</v>
      </c>
      <c r="S152" s="5">
        <v>185185.1851851852</v>
      </c>
      <c r="T152" s="5">
        <v>0</v>
      </c>
      <c r="U152" s="5">
        <v>250000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30">
        <v>0</v>
      </c>
      <c r="AE152" s="27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10"/>
      <c r="AT152" s="10"/>
      <c r="AU152" s="10"/>
      <c r="AV152" s="10"/>
      <c r="AW152" s="10"/>
      <c r="AX152" s="11"/>
    </row>
    <row r="153" spans="1:50" x14ac:dyDescent="0.25">
      <c r="A153" s="48" t="s">
        <v>244</v>
      </c>
      <c r="B153" s="48" t="s">
        <v>245</v>
      </c>
      <c r="C153" s="63" t="s">
        <v>51</v>
      </c>
      <c r="D153" s="23" t="s">
        <v>110</v>
      </c>
      <c r="E153" s="62" t="s">
        <v>3</v>
      </c>
      <c r="F153" s="2" t="s">
        <v>33</v>
      </c>
      <c r="G153" s="31" t="s">
        <v>34</v>
      </c>
      <c r="H153" s="2" t="s">
        <v>35</v>
      </c>
      <c r="I153" s="44" t="s">
        <v>165</v>
      </c>
      <c r="J153" s="2" t="s">
        <v>166</v>
      </c>
      <c r="K153" s="5">
        <v>250000</v>
      </c>
      <c r="L153" s="5">
        <v>5573542.9500000002</v>
      </c>
      <c r="M153" s="5">
        <v>19259249</v>
      </c>
      <c r="N153" s="13">
        <v>9.932684E-2</v>
      </c>
      <c r="O153" s="5">
        <v>1359357.971826239</v>
      </c>
      <c r="P153" s="76"/>
      <c r="Q153" s="9">
        <v>0.18391034972497769</v>
      </c>
      <c r="R153" s="2">
        <v>1.35</v>
      </c>
      <c r="S153" s="5">
        <v>185185.1851851852</v>
      </c>
      <c r="T153" s="5">
        <v>0</v>
      </c>
      <c r="U153" s="5">
        <v>250000</v>
      </c>
      <c r="V153" s="5">
        <v>0</v>
      </c>
      <c r="W153" s="5">
        <v>0</v>
      </c>
      <c r="X153" s="5">
        <v>0</v>
      </c>
      <c r="Y153" s="5">
        <v>0</v>
      </c>
      <c r="Z153" s="10">
        <v>0</v>
      </c>
      <c r="AA153" s="10">
        <v>0</v>
      </c>
      <c r="AB153" s="10">
        <v>0</v>
      </c>
      <c r="AC153" s="10">
        <v>0</v>
      </c>
      <c r="AD153" s="11">
        <v>0</v>
      </c>
      <c r="AE153" s="28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1"/>
    </row>
    <row r="154" spans="1:50" x14ac:dyDescent="0.25">
      <c r="A154" s="47" t="s">
        <v>246</v>
      </c>
      <c r="B154" s="47" t="s">
        <v>126</v>
      </c>
      <c r="C154" s="63" t="s">
        <v>51</v>
      </c>
      <c r="D154" s="23" t="s">
        <v>126</v>
      </c>
      <c r="E154" s="62" t="s">
        <v>3</v>
      </c>
      <c r="F154" s="2" t="s">
        <v>33</v>
      </c>
      <c r="G154" s="31" t="s">
        <v>34</v>
      </c>
      <c r="H154" s="2" t="s">
        <v>35</v>
      </c>
      <c r="I154" s="44" t="s">
        <v>165</v>
      </c>
      <c r="J154" s="2" t="s">
        <v>166</v>
      </c>
      <c r="K154" s="5">
        <v>1500000</v>
      </c>
      <c r="L154" s="5">
        <v>27165040</v>
      </c>
      <c r="M154" s="5">
        <v>85454409</v>
      </c>
      <c r="N154" s="13">
        <v>0.17119999999999999</v>
      </c>
      <c r="O154" s="5">
        <v>9979139.9934449438</v>
      </c>
      <c r="P154" s="76">
        <v>9979140</v>
      </c>
      <c r="Q154" s="9">
        <v>0.15031355417253531</v>
      </c>
      <c r="R154" s="2">
        <v>1.35</v>
      </c>
      <c r="S154" s="5">
        <v>1111111.111111111</v>
      </c>
      <c r="T154" s="5">
        <v>200000</v>
      </c>
      <c r="U154" s="5">
        <v>100000</v>
      </c>
      <c r="V154" s="5">
        <v>1000000</v>
      </c>
      <c r="W154" s="5">
        <v>0</v>
      </c>
      <c r="X154" s="5">
        <v>0</v>
      </c>
      <c r="Y154" s="5">
        <v>0</v>
      </c>
      <c r="Z154" s="10">
        <v>0</v>
      </c>
      <c r="AA154" s="10">
        <v>200000</v>
      </c>
      <c r="AB154" s="10">
        <v>0</v>
      </c>
      <c r="AC154" s="10">
        <v>0</v>
      </c>
      <c r="AD154" s="11">
        <v>0</v>
      </c>
      <c r="AE154" s="28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1"/>
    </row>
    <row r="155" spans="1:50" x14ac:dyDescent="0.25">
      <c r="A155" s="47" t="s">
        <v>247</v>
      </c>
      <c r="B155" s="47" t="s">
        <v>248</v>
      </c>
      <c r="C155" s="63" t="s">
        <v>51</v>
      </c>
      <c r="D155" s="23" t="s">
        <v>126</v>
      </c>
      <c r="E155" s="64" t="s">
        <v>534</v>
      </c>
      <c r="F155" s="2" t="s">
        <v>41</v>
      </c>
      <c r="G155" s="31" t="s">
        <v>34</v>
      </c>
      <c r="H155" s="2" t="s">
        <v>35</v>
      </c>
      <c r="I155" s="44" t="s">
        <v>165</v>
      </c>
      <c r="J155" s="2" t="s">
        <v>166</v>
      </c>
      <c r="K155" s="5">
        <v>500000</v>
      </c>
      <c r="L155" s="5">
        <v>27165040</v>
      </c>
      <c r="M155" s="5">
        <v>85454409</v>
      </c>
      <c r="N155" s="13">
        <v>5.7065640000000001E-2</v>
      </c>
      <c r="O155" s="5">
        <v>3326320</v>
      </c>
      <c r="P155" s="76">
        <v>3326320</v>
      </c>
      <c r="Q155" s="9">
        <v>0.1503162654224488</v>
      </c>
      <c r="R155" s="2">
        <v>1.35</v>
      </c>
      <c r="S155" s="5">
        <v>370370.37037037028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10">
        <v>500000</v>
      </c>
      <c r="AA155" s="10">
        <v>0</v>
      </c>
      <c r="AB155" s="10">
        <v>0</v>
      </c>
      <c r="AC155" s="10">
        <v>0</v>
      </c>
      <c r="AD155" s="11">
        <v>0</v>
      </c>
      <c r="AE155" s="28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1"/>
    </row>
    <row r="156" spans="1:50" x14ac:dyDescent="0.25">
      <c r="A156" s="47" t="s">
        <v>249</v>
      </c>
      <c r="B156" s="47" t="s">
        <v>250</v>
      </c>
      <c r="C156" s="63" t="s">
        <v>51</v>
      </c>
      <c r="D156" s="23" t="s">
        <v>126</v>
      </c>
      <c r="E156" s="62" t="s">
        <v>3</v>
      </c>
      <c r="F156" s="2" t="s">
        <v>33</v>
      </c>
      <c r="G156" s="31" t="s">
        <v>34</v>
      </c>
      <c r="H156" s="2" t="s">
        <v>35</v>
      </c>
      <c r="I156" s="44" t="s">
        <v>165</v>
      </c>
      <c r="J156" s="2" t="s">
        <v>166</v>
      </c>
      <c r="K156" s="5">
        <v>500000</v>
      </c>
      <c r="L156" s="5">
        <v>22939446</v>
      </c>
      <c r="M156" s="5">
        <v>33878513</v>
      </c>
      <c r="N156" s="13">
        <v>0.19070000000000001</v>
      </c>
      <c r="O156" s="5">
        <v>2086080</v>
      </c>
      <c r="P156" s="76"/>
      <c r="Q156" s="9">
        <v>0.23968400061359099</v>
      </c>
      <c r="R156" s="2">
        <v>1.35</v>
      </c>
      <c r="S156" s="5">
        <v>370370.37037037028</v>
      </c>
      <c r="T156" s="5">
        <v>0</v>
      </c>
      <c r="U156" s="5">
        <v>500000</v>
      </c>
      <c r="V156" s="5">
        <v>0</v>
      </c>
      <c r="W156" s="5">
        <v>0</v>
      </c>
      <c r="X156" s="5">
        <v>0</v>
      </c>
      <c r="Y156" s="5">
        <v>0</v>
      </c>
      <c r="Z156" s="10">
        <v>0</v>
      </c>
      <c r="AA156" s="10">
        <v>0</v>
      </c>
      <c r="AB156" s="10">
        <v>0</v>
      </c>
      <c r="AC156" s="10">
        <v>0</v>
      </c>
      <c r="AD156" s="11">
        <v>0</v>
      </c>
      <c r="AE156" s="28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1"/>
    </row>
    <row r="157" spans="1:50" x14ac:dyDescent="0.25">
      <c r="A157" s="47" t="s">
        <v>251</v>
      </c>
      <c r="B157" s="47" t="s">
        <v>252</v>
      </c>
      <c r="C157" s="63" t="s">
        <v>51</v>
      </c>
      <c r="D157" s="23" t="s">
        <v>85</v>
      </c>
      <c r="E157" s="62" t="s">
        <v>3</v>
      </c>
      <c r="F157" s="2" t="s">
        <v>33</v>
      </c>
      <c r="G157" s="31" t="s">
        <v>34</v>
      </c>
      <c r="H157" s="2" t="s">
        <v>35</v>
      </c>
      <c r="I157" s="44" t="s">
        <v>165</v>
      </c>
      <c r="J157" s="2" t="s">
        <v>166</v>
      </c>
      <c r="K157" s="5">
        <v>750000</v>
      </c>
      <c r="L157" s="5">
        <v>7625810</v>
      </c>
      <c r="M157" s="5">
        <v>27051088</v>
      </c>
      <c r="N157" s="13">
        <v>0.25030000000000002</v>
      </c>
      <c r="O157" s="5">
        <v>4862147</v>
      </c>
      <c r="P157" s="76">
        <v>4862147</v>
      </c>
      <c r="Q157" s="9">
        <v>0.1542528434454985</v>
      </c>
      <c r="R157" s="2">
        <v>1.35</v>
      </c>
      <c r="S157" s="5">
        <v>555555.5555555555</v>
      </c>
      <c r="T157" s="5">
        <v>125000</v>
      </c>
      <c r="U157" s="5">
        <v>900000</v>
      </c>
      <c r="V157" s="5">
        <v>0</v>
      </c>
      <c r="W157" s="5">
        <v>800000</v>
      </c>
      <c r="X157" s="5">
        <v>0</v>
      </c>
      <c r="Y157" s="5">
        <v>0</v>
      </c>
      <c r="Z157" s="10">
        <v>0</v>
      </c>
      <c r="AA157" s="10">
        <v>200000</v>
      </c>
      <c r="AB157" s="10">
        <v>0</v>
      </c>
      <c r="AC157" s="10">
        <v>0</v>
      </c>
      <c r="AD157" s="11">
        <v>0</v>
      </c>
      <c r="AE157" s="28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1"/>
    </row>
    <row r="158" spans="1:50" x14ac:dyDescent="0.25">
      <c r="A158" s="47" t="s">
        <v>253</v>
      </c>
      <c r="B158" s="47" t="s">
        <v>254</v>
      </c>
      <c r="C158" s="63" t="s">
        <v>51</v>
      </c>
      <c r="D158" s="23" t="s">
        <v>85</v>
      </c>
      <c r="E158" s="62" t="s">
        <v>3</v>
      </c>
      <c r="F158" s="2" t="s">
        <v>33</v>
      </c>
      <c r="G158" s="31" t="s">
        <v>34</v>
      </c>
      <c r="H158" s="2" t="s">
        <v>35</v>
      </c>
      <c r="I158" s="44" t="s">
        <v>165</v>
      </c>
      <c r="J158" s="2" t="s">
        <v>166</v>
      </c>
      <c r="K158" s="5">
        <v>600000</v>
      </c>
      <c r="L158" s="5">
        <v>14338550</v>
      </c>
      <c r="M158" s="5">
        <v>27532696</v>
      </c>
      <c r="N158" s="13">
        <v>0.1903</v>
      </c>
      <c r="O158" s="5">
        <v>2510846</v>
      </c>
      <c r="P158" s="76">
        <v>2510846</v>
      </c>
      <c r="Q158" s="9">
        <v>0.23896328169867839</v>
      </c>
      <c r="R158" s="2">
        <v>1.35</v>
      </c>
      <c r="S158" s="5">
        <v>444444.44444444438</v>
      </c>
      <c r="T158" s="5">
        <v>125000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10">
        <v>0</v>
      </c>
      <c r="AA158" s="10">
        <v>200000</v>
      </c>
      <c r="AB158" s="10">
        <v>0</v>
      </c>
      <c r="AC158" s="10">
        <v>0</v>
      </c>
      <c r="AD158" s="11">
        <v>0</v>
      </c>
      <c r="AE158" s="28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1"/>
    </row>
    <row r="159" spans="1:50" x14ac:dyDescent="0.25">
      <c r="A159" s="47" t="s">
        <v>255</v>
      </c>
      <c r="B159" s="47" t="s">
        <v>256</v>
      </c>
      <c r="C159" s="63" t="s">
        <v>51</v>
      </c>
      <c r="D159" s="23" t="s">
        <v>85</v>
      </c>
      <c r="E159" s="62" t="s">
        <v>3</v>
      </c>
      <c r="F159" s="2" t="s">
        <v>33</v>
      </c>
      <c r="G159" s="31" t="s">
        <v>34</v>
      </c>
      <c r="H159" s="2" t="s">
        <v>35</v>
      </c>
      <c r="I159" s="44" t="s">
        <v>165</v>
      </c>
      <c r="J159" s="2" t="s">
        <v>166</v>
      </c>
      <c r="K159" s="5">
        <v>1200000</v>
      </c>
      <c r="L159" s="5">
        <v>31623200</v>
      </c>
      <c r="M159" s="5">
        <v>60814720</v>
      </c>
      <c r="N159" s="13">
        <v>0.21379999999999999</v>
      </c>
      <c r="O159" s="5">
        <v>6241147</v>
      </c>
      <c r="P159" s="76">
        <v>6241147</v>
      </c>
      <c r="Q159" s="9">
        <v>0.19227234993824049</v>
      </c>
      <c r="R159" s="2">
        <v>1.35</v>
      </c>
      <c r="S159" s="5">
        <v>888888.88888888888</v>
      </c>
      <c r="T159" s="5">
        <v>125000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10">
        <v>0</v>
      </c>
      <c r="AA159" s="10">
        <v>200000</v>
      </c>
      <c r="AB159" s="10">
        <v>0</v>
      </c>
      <c r="AC159" s="10">
        <v>0</v>
      </c>
      <c r="AD159" s="11">
        <v>0</v>
      </c>
      <c r="AE159" s="28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1"/>
    </row>
    <row r="160" spans="1:50" x14ac:dyDescent="0.25">
      <c r="A160" s="47" t="s">
        <v>257</v>
      </c>
      <c r="B160" s="47" t="s">
        <v>258</v>
      </c>
      <c r="C160" s="63" t="s">
        <v>51</v>
      </c>
      <c r="D160" s="23" t="s">
        <v>85</v>
      </c>
      <c r="E160" s="62" t="s">
        <v>3</v>
      </c>
      <c r="F160" s="2" t="s">
        <v>33</v>
      </c>
      <c r="G160" s="31" t="s">
        <v>34</v>
      </c>
      <c r="H160" s="2" t="s">
        <v>35</v>
      </c>
      <c r="I160" s="44" t="s">
        <v>165</v>
      </c>
      <c r="J160" s="2" t="s">
        <v>166</v>
      </c>
      <c r="K160" s="5">
        <v>450000</v>
      </c>
      <c r="L160" s="5">
        <v>13019160</v>
      </c>
      <c r="M160" s="5">
        <v>27184842</v>
      </c>
      <c r="N160" s="13">
        <v>0.22950000000000001</v>
      </c>
      <c r="O160" s="5">
        <v>3251024</v>
      </c>
      <c r="P160" s="76">
        <v>3211494.48</v>
      </c>
      <c r="Q160" s="9">
        <v>0.13841792616726301</v>
      </c>
      <c r="R160" s="2">
        <v>1.35</v>
      </c>
      <c r="S160" s="5">
        <v>333333.33333333331</v>
      </c>
      <c r="T160" s="5">
        <v>125000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10">
        <v>0</v>
      </c>
      <c r="AA160" s="10">
        <v>200000</v>
      </c>
      <c r="AB160" s="10">
        <v>0</v>
      </c>
      <c r="AC160" s="10">
        <v>0</v>
      </c>
      <c r="AD160" s="11">
        <v>0</v>
      </c>
      <c r="AE160" s="28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1"/>
    </row>
    <row r="161" spans="1:50" x14ac:dyDescent="0.25">
      <c r="A161" s="47" t="s">
        <v>259</v>
      </c>
      <c r="B161" s="47" t="s">
        <v>260</v>
      </c>
      <c r="C161" s="63" t="s">
        <v>51</v>
      </c>
      <c r="D161" s="23" t="s">
        <v>85</v>
      </c>
      <c r="E161" s="53" t="s">
        <v>535</v>
      </c>
      <c r="F161" s="2" t="s">
        <v>41</v>
      </c>
      <c r="G161" s="31" t="s">
        <v>34</v>
      </c>
      <c r="H161" s="2" t="s">
        <v>35</v>
      </c>
      <c r="I161" s="44" t="s">
        <v>165</v>
      </c>
      <c r="J161" s="2" t="s">
        <v>166</v>
      </c>
      <c r="K161" s="5">
        <v>250000</v>
      </c>
      <c r="L161" s="5">
        <v>7625810</v>
      </c>
      <c r="M161" s="5">
        <v>27051088</v>
      </c>
      <c r="N161" s="13">
        <v>8.3400000000000002E-2</v>
      </c>
      <c r="O161" s="5">
        <v>1620716</v>
      </c>
      <c r="P161" s="76">
        <v>1620716</v>
      </c>
      <c r="Q161" s="9">
        <v>0.15425281172025199</v>
      </c>
      <c r="R161" s="2">
        <v>1.35</v>
      </c>
      <c r="S161" s="5">
        <v>185185.1851851852</v>
      </c>
      <c r="T161" s="5">
        <v>0</v>
      </c>
      <c r="U161" s="5">
        <v>1500000</v>
      </c>
      <c r="V161" s="5">
        <v>0</v>
      </c>
      <c r="W161" s="5">
        <v>0</v>
      </c>
      <c r="X161" s="5">
        <v>0</v>
      </c>
      <c r="Y161" s="5">
        <v>61889</v>
      </c>
      <c r="Z161" s="10">
        <v>0</v>
      </c>
      <c r="AA161" s="10">
        <v>0</v>
      </c>
      <c r="AB161" s="10">
        <v>0</v>
      </c>
      <c r="AC161" s="10">
        <v>0</v>
      </c>
      <c r="AD161" s="11">
        <v>0</v>
      </c>
      <c r="AE161" s="28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1"/>
    </row>
    <row r="162" spans="1:50" x14ac:dyDescent="0.25">
      <c r="A162" s="47" t="s">
        <v>261</v>
      </c>
      <c r="B162" s="47" t="s">
        <v>262</v>
      </c>
      <c r="C162" s="63" t="s">
        <v>51</v>
      </c>
      <c r="D162" s="23" t="s">
        <v>85</v>
      </c>
      <c r="E162" s="53" t="s">
        <v>535</v>
      </c>
      <c r="F162" s="2" t="s">
        <v>41</v>
      </c>
      <c r="G162" s="31" t="s">
        <v>34</v>
      </c>
      <c r="H162" s="2" t="s">
        <v>35</v>
      </c>
      <c r="I162" s="44" t="s">
        <v>165</v>
      </c>
      <c r="J162" s="2" t="s">
        <v>166</v>
      </c>
      <c r="K162" s="5">
        <v>200000</v>
      </c>
      <c r="L162" s="5">
        <v>14338550</v>
      </c>
      <c r="M162" s="5">
        <v>27532696</v>
      </c>
      <c r="N162" s="13">
        <v>6.3399999999999998E-2</v>
      </c>
      <c r="O162" s="5">
        <v>836980</v>
      </c>
      <c r="P162" s="76">
        <v>836949</v>
      </c>
      <c r="Q162" s="9">
        <v>0.23895433582642359</v>
      </c>
      <c r="R162" s="2">
        <v>1.35</v>
      </c>
      <c r="S162" s="5">
        <v>148148.14814814809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10">
        <v>0</v>
      </c>
      <c r="AA162" s="10">
        <v>0</v>
      </c>
      <c r="AB162" s="10">
        <v>0</v>
      </c>
      <c r="AC162" s="10">
        <v>0</v>
      </c>
      <c r="AD162" s="11">
        <v>0</v>
      </c>
      <c r="AE162" s="28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1"/>
    </row>
    <row r="163" spans="1:50" x14ac:dyDescent="0.25">
      <c r="A163" s="47" t="s">
        <v>263</v>
      </c>
      <c r="B163" s="47" t="s">
        <v>264</v>
      </c>
      <c r="C163" s="63" t="s">
        <v>51</v>
      </c>
      <c r="D163" s="23" t="s">
        <v>85</v>
      </c>
      <c r="E163" s="53" t="s">
        <v>535</v>
      </c>
      <c r="F163" s="2" t="s">
        <v>41</v>
      </c>
      <c r="G163" s="31" t="s">
        <v>34</v>
      </c>
      <c r="H163" s="2" t="s">
        <v>35</v>
      </c>
      <c r="I163" s="44" t="s">
        <v>165</v>
      </c>
      <c r="J163" s="2" t="s">
        <v>166</v>
      </c>
      <c r="K163" s="5">
        <v>730000</v>
      </c>
      <c r="L163" s="5">
        <v>31623200</v>
      </c>
      <c r="M163" s="5">
        <v>60814720</v>
      </c>
      <c r="N163" s="13">
        <v>0.13006166</v>
      </c>
      <c r="O163" s="5">
        <v>3796698</v>
      </c>
      <c r="P163" s="76">
        <v>3796698</v>
      </c>
      <c r="Q163" s="9">
        <v>0.1922723376997591</v>
      </c>
      <c r="R163" s="2">
        <v>1.35</v>
      </c>
      <c r="S163" s="5">
        <v>540740.74074074067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10">
        <v>0</v>
      </c>
      <c r="AA163" s="10">
        <v>0</v>
      </c>
      <c r="AB163" s="10">
        <v>0</v>
      </c>
      <c r="AC163" s="10">
        <v>0</v>
      </c>
      <c r="AD163" s="11">
        <v>0</v>
      </c>
      <c r="AE163" s="28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1"/>
    </row>
    <row r="164" spans="1:50" x14ac:dyDescent="0.25">
      <c r="A164" s="47" t="s">
        <v>265</v>
      </c>
      <c r="B164" s="47" t="s">
        <v>266</v>
      </c>
      <c r="C164" s="63" t="s">
        <v>51</v>
      </c>
      <c r="D164" s="23" t="s">
        <v>85</v>
      </c>
      <c r="E164" s="53" t="s">
        <v>535</v>
      </c>
      <c r="F164" s="2" t="s">
        <v>41</v>
      </c>
      <c r="G164" s="31" t="s">
        <v>34</v>
      </c>
      <c r="H164" s="2" t="s">
        <v>35</v>
      </c>
      <c r="I164" s="44" t="s">
        <v>165</v>
      </c>
      <c r="J164" s="2" t="s">
        <v>166</v>
      </c>
      <c r="K164" s="5">
        <v>381889</v>
      </c>
      <c r="L164" s="5">
        <v>13019160</v>
      </c>
      <c r="M164" s="5">
        <v>27184842</v>
      </c>
      <c r="N164" s="13">
        <v>0.19476338000000001</v>
      </c>
      <c r="O164" s="5">
        <v>2758956</v>
      </c>
      <c r="P164" s="76">
        <v>2725409.6722272001</v>
      </c>
      <c r="Q164" s="9">
        <v>0.13841793779966041</v>
      </c>
      <c r="R164" s="2">
        <v>1.35</v>
      </c>
      <c r="S164" s="5">
        <v>282880.74074074067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10">
        <v>0</v>
      </c>
      <c r="AA164" s="10">
        <v>0</v>
      </c>
      <c r="AB164" s="10">
        <v>0</v>
      </c>
      <c r="AC164" s="10">
        <v>0</v>
      </c>
      <c r="AD164" s="11">
        <v>0</v>
      </c>
      <c r="AE164" s="28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1"/>
    </row>
    <row r="165" spans="1:50" x14ac:dyDescent="0.25">
      <c r="A165" s="47" t="s">
        <v>267</v>
      </c>
      <c r="B165" s="47" t="s">
        <v>268</v>
      </c>
      <c r="C165" s="63" t="s">
        <v>51</v>
      </c>
      <c r="D165" s="23" t="s">
        <v>85</v>
      </c>
      <c r="E165" s="64" t="s">
        <v>534</v>
      </c>
      <c r="F165" s="2" t="s">
        <v>41</v>
      </c>
      <c r="G165" s="31" t="s">
        <v>34</v>
      </c>
      <c r="H165" s="2" t="s">
        <v>35</v>
      </c>
      <c r="I165" s="44" t="s">
        <v>165</v>
      </c>
      <c r="J165" s="2" t="s">
        <v>166</v>
      </c>
      <c r="K165" s="5">
        <v>540000</v>
      </c>
      <c r="L165" s="5">
        <v>31623200</v>
      </c>
      <c r="M165" s="5">
        <v>60814720</v>
      </c>
      <c r="N165" s="13">
        <v>9.6210000000000004E-2</v>
      </c>
      <c r="O165" s="5">
        <v>2808516</v>
      </c>
      <c r="P165" s="76">
        <v>2808516</v>
      </c>
      <c r="Q165" s="9">
        <v>0.19227236020731231</v>
      </c>
      <c r="R165" s="2">
        <v>1.35</v>
      </c>
      <c r="S165" s="5">
        <v>400000</v>
      </c>
      <c r="T165" s="5">
        <v>0</v>
      </c>
      <c r="U165" s="5">
        <v>540000</v>
      </c>
      <c r="V165" s="5">
        <v>0</v>
      </c>
      <c r="W165" s="5">
        <v>0</v>
      </c>
      <c r="X165" s="5">
        <v>0</v>
      </c>
      <c r="Y165" s="5">
        <v>0</v>
      </c>
      <c r="Z165" s="10">
        <v>0</v>
      </c>
      <c r="AA165" s="10">
        <v>0</v>
      </c>
      <c r="AB165" s="10">
        <v>0</v>
      </c>
      <c r="AC165" s="10">
        <v>0</v>
      </c>
      <c r="AD165" s="11">
        <v>0</v>
      </c>
      <c r="AE165" s="28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1"/>
    </row>
    <row r="166" spans="1:50" x14ac:dyDescent="0.25">
      <c r="A166" s="47" t="s">
        <v>269</v>
      </c>
      <c r="B166" s="47" t="s">
        <v>270</v>
      </c>
      <c r="C166" s="63" t="s">
        <v>51</v>
      </c>
      <c r="D166" s="23" t="s">
        <v>85</v>
      </c>
      <c r="E166" s="64" t="s">
        <v>534</v>
      </c>
      <c r="F166" s="2" t="s">
        <v>41</v>
      </c>
      <c r="G166" s="31" t="s">
        <v>34</v>
      </c>
      <c r="H166" s="2" t="s">
        <v>35</v>
      </c>
      <c r="I166" s="44" t="s">
        <v>165</v>
      </c>
      <c r="J166" s="2" t="s">
        <v>166</v>
      </c>
      <c r="K166" s="5">
        <v>460000</v>
      </c>
      <c r="L166" s="5">
        <v>13019160</v>
      </c>
      <c r="M166" s="5">
        <v>27184842</v>
      </c>
      <c r="N166" s="13">
        <v>0.2346</v>
      </c>
      <c r="O166" s="5">
        <v>3323269</v>
      </c>
      <c r="P166" s="76">
        <v>3282861.0240000002</v>
      </c>
      <c r="Q166" s="9">
        <v>0.1384179252416822</v>
      </c>
      <c r="R166" s="2">
        <v>1.35</v>
      </c>
      <c r="S166" s="5">
        <v>340740.74074074067</v>
      </c>
      <c r="T166" s="5">
        <v>0</v>
      </c>
      <c r="U166" s="5">
        <v>460000</v>
      </c>
      <c r="V166" s="5">
        <v>0</v>
      </c>
      <c r="W166" s="5">
        <v>0</v>
      </c>
      <c r="X166" s="5">
        <v>0</v>
      </c>
      <c r="Y166" s="5">
        <v>0</v>
      </c>
      <c r="Z166" s="10">
        <v>0</v>
      </c>
      <c r="AA166" s="10">
        <v>0</v>
      </c>
      <c r="AB166" s="10">
        <v>0</v>
      </c>
      <c r="AC166" s="10">
        <v>0</v>
      </c>
      <c r="AD166" s="11">
        <v>0</v>
      </c>
      <c r="AE166" s="28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1"/>
    </row>
    <row r="167" spans="1:50" x14ac:dyDescent="0.25">
      <c r="A167" s="47" t="s">
        <v>271</v>
      </c>
      <c r="B167" s="47" t="s">
        <v>272</v>
      </c>
      <c r="C167" s="63" t="s">
        <v>51</v>
      </c>
      <c r="D167" s="23" t="s">
        <v>113</v>
      </c>
      <c r="E167" s="62" t="s">
        <v>3</v>
      </c>
      <c r="F167" s="2" t="s">
        <v>33</v>
      </c>
      <c r="G167" s="31" t="s">
        <v>34</v>
      </c>
      <c r="H167" s="2" t="s">
        <v>35</v>
      </c>
      <c r="I167" s="44" t="s">
        <v>165</v>
      </c>
      <c r="J167" s="2" t="s">
        <v>166</v>
      </c>
      <c r="K167" s="5">
        <v>900000</v>
      </c>
      <c r="L167" s="5">
        <v>9131835</v>
      </c>
      <c r="M167" s="5">
        <v>14203535</v>
      </c>
      <c r="N167" s="13">
        <v>0.72150000000000003</v>
      </c>
      <c r="O167" s="5">
        <v>3659232</v>
      </c>
      <c r="P167" s="76"/>
      <c r="Q167" s="9">
        <v>0.24595324920639089</v>
      </c>
      <c r="R167" s="2">
        <v>1.35</v>
      </c>
      <c r="S167" s="5">
        <v>666666.66666666663</v>
      </c>
      <c r="T167" s="5">
        <v>0</v>
      </c>
      <c r="U167" s="5">
        <v>0</v>
      </c>
      <c r="V167" s="5">
        <v>900000</v>
      </c>
      <c r="W167" s="5">
        <v>0</v>
      </c>
      <c r="X167" s="5">
        <v>0</v>
      </c>
      <c r="Y167" s="5">
        <v>0</v>
      </c>
      <c r="Z167" s="10">
        <v>0</v>
      </c>
      <c r="AA167" s="10">
        <v>0</v>
      </c>
      <c r="AB167" s="10">
        <v>0</v>
      </c>
      <c r="AC167" s="10">
        <v>0</v>
      </c>
      <c r="AD167" s="11">
        <v>0</v>
      </c>
      <c r="AE167" s="28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1"/>
    </row>
    <row r="168" spans="1:50" x14ac:dyDescent="0.25">
      <c r="A168" s="47" t="s">
        <v>273</v>
      </c>
      <c r="B168" s="47" t="s">
        <v>274</v>
      </c>
      <c r="C168" s="63" t="s">
        <v>51</v>
      </c>
      <c r="D168" s="23" t="s">
        <v>113</v>
      </c>
      <c r="E168" s="62" t="s">
        <v>3</v>
      </c>
      <c r="F168" s="2" t="s">
        <v>33</v>
      </c>
      <c r="G168" s="31" t="s">
        <v>34</v>
      </c>
      <c r="H168" s="2" t="s">
        <v>35</v>
      </c>
      <c r="I168" s="44" t="s">
        <v>165</v>
      </c>
      <c r="J168" s="2" t="s">
        <v>166</v>
      </c>
      <c r="K168" s="5">
        <v>200000</v>
      </c>
      <c r="L168" s="5">
        <v>15463284</v>
      </c>
      <c r="M168" s="5">
        <v>26215575</v>
      </c>
      <c r="N168" s="15">
        <v>9.2100000000000001E-2</v>
      </c>
      <c r="O168" s="5">
        <v>990286</v>
      </c>
      <c r="P168" s="76"/>
      <c r="Q168" s="9">
        <v>0.20196185748359571</v>
      </c>
      <c r="R168" s="2">
        <v>1.35</v>
      </c>
      <c r="S168" s="5">
        <v>148148.14814814809</v>
      </c>
      <c r="T168" s="5">
        <v>0</v>
      </c>
      <c r="U168" s="5">
        <v>0</v>
      </c>
      <c r="V168" s="5">
        <v>200000</v>
      </c>
      <c r="W168" s="5">
        <v>0</v>
      </c>
      <c r="X168" s="5">
        <v>0</v>
      </c>
      <c r="Y168" s="5">
        <v>0</v>
      </c>
      <c r="Z168" s="10">
        <v>0</v>
      </c>
      <c r="AA168" s="10">
        <v>0</v>
      </c>
      <c r="AB168" s="10">
        <v>0</v>
      </c>
      <c r="AC168" s="10">
        <v>0</v>
      </c>
      <c r="AD168" s="11">
        <v>0</v>
      </c>
      <c r="AE168" s="28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1"/>
    </row>
    <row r="169" spans="1:50" x14ac:dyDescent="0.25">
      <c r="A169" s="47" t="s">
        <v>275</v>
      </c>
      <c r="B169" s="47" t="s">
        <v>276</v>
      </c>
      <c r="C169" s="63" t="s">
        <v>51</v>
      </c>
      <c r="D169" s="23" t="s">
        <v>113</v>
      </c>
      <c r="E169" s="62" t="s">
        <v>3</v>
      </c>
      <c r="F169" s="2" t="s">
        <v>33</v>
      </c>
      <c r="G169" s="31" t="s">
        <v>34</v>
      </c>
      <c r="H169" s="2" t="s">
        <v>35</v>
      </c>
      <c r="I169" s="44" t="s">
        <v>165</v>
      </c>
      <c r="J169" s="2" t="s">
        <v>166</v>
      </c>
      <c r="K169" s="5">
        <v>600000</v>
      </c>
      <c r="L169" s="5">
        <v>6075126</v>
      </c>
      <c r="M169" s="5">
        <v>23085310</v>
      </c>
      <c r="N169" s="13">
        <v>0.27129999999999999</v>
      </c>
      <c r="O169" s="5">
        <v>4614863</v>
      </c>
      <c r="P169" s="76">
        <v>4614863</v>
      </c>
      <c r="Q169" s="9">
        <v>0.13001469382731401</v>
      </c>
      <c r="R169" s="2">
        <v>1.35</v>
      </c>
      <c r="S169" s="5">
        <v>444444.44444444438</v>
      </c>
      <c r="T169" s="5">
        <v>0</v>
      </c>
      <c r="U169" s="5">
        <v>0</v>
      </c>
      <c r="V169" s="5">
        <v>600000</v>
      </c>
      <c r="W169" s="5">
        <v>0</v>
      </c>
      <c r="X169" s="5">
        <v>0</v>
      </c>
      <c r="Y169" s="5">
        <v>0</v>
      </c>
      <c r="Z169" s="10">
        <v>0</v>
      </c>
      <c r="AA169" s="10">
        <v>0</v>
      </c>
      <c r="AB169" s="10">
        <v>0</v>
      </c>
      <c r="AC169" s="10">
        <v>0</v>
      </c>
      <c r="AD169" s="11">
        <v>0</v>
      </c>
      <c r="AE169" s="28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1"/>
    </row>
    <row r="170" spans="1:50" x14ac:dyDescent="0.25">
      <c r="A170" s="47" t="s">
        <v>277</v>
      </c>
      <c r="B170" s="47" t="s">
        <v>278</v>
      </c>
      <c r="C170" s="63" t="s">
        <v>51</v>
      </c>
      <c r="D170" s="23" t="s">
        <v>113</v>
      </c>
      <c r="E170" s="62" t="s">
        <v>3</v>
      </c>
      <c r="F170" s="2" t="s">
        <v>33</v>
      </c>
      <c r="G170" s="31" t="s">
        <v>34</v>
      </c>
      <c r="H170" s="2" t="s">
        <v>35</v>
      </c>
      <c r="I170" s="44" t="s">
        <v>165</v>
      </c>
      <c r="J170" s="2" t="s">
        <v>166</v>
      </c>
      <c r="K170" s="5">
        <v>300000</v>
      </c>
      <c r="L170" s="5">
        <v>18463544</v>
      </c>
      <c r="M170" s="5">
        <v>53995572</v>
      </c>
      <c r="N170" s="13">
        <v>5.8700000000000002E-2</v>
      </c>
      <c r="O170" s="5">
        <v>2085730</v>
      </c>
      <c r="P170" s="76">
        <v>897658.94920000003</v>
      </c>
      <c r="Q170" s="9">
        <v>0.14383453275352029</v>
      </c>
      <c r="R170" s="2">
        <v>1.35</v>
      </c>
      <c r="S170" s="5">
        <v>222222.22222222219</v>
      </c>
      <c r="T170" s="5">
        <v>0</v>
      </c>
      <c r="U170" s="5">
        <v>0</v>
      </c>
      <c r="V170" s="5">
        <v>300000</v>
      </c>
      <c r="W170" s="5">
        <v>0</v>
      </c>
      <c r="X170" s="5">
        <v>0</v>
      </c>
      <c r="Y170" s="5">
        <v>0</v>
      </c>
      <c r="Z170" s="10">
        <v>0</v>
      </c>
      <c r="AA170" s="10">
        <v>0</v>
      </c>
      <c r="AB170" s="10">
        <v>0</v>
      </c>
      <c r="AC170" s="10">
        <v>0</v>
      </c>
      <c r="AD170" s="11">
        <v>0</v>
      </c>
      <c r="AE170" s="28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1"/>
    </row>
    <row r="171" spans="1:50" x14ac:dyDescent="0.25">
      <c r="A171" s="47" t="s">
        <v>279</v>
      </c>
      <c r="B171" s="47" t="s">
        <v>280</v>
      </c>
      <c r="C171" s="63" t="s">
        <v>51</v>
      </c>
      <c r="D171" s="23" t="s">
        <v>113</v>
      </c>
      <c r="E171" s="64" t="s">
        <v>534</v>
      </c>
      <c r="F171" s="2" t="s">
        <v>41</v>
      </c>
      <c r="G171" s="2" t="s">
        <v>616</v>
      </c>
      <c r="H171" s="2" t="s">
        <v>103</v>
      </c>
      <c r="I171" s="44" t="s">
        <v>165</v>
      </c>
      <c r="J171" s="2" t="s">
        <v>166</v>
      </c>
      <c r="K171" s="5">
        <v>250000</v>
      </c>
      <c r="L171" s="5">
        <v>9131835</v>
      </c>
      <c r="M171" s="5">
        <v>14203535</v>
      </c>
      <c r="N171" s="13">
        <v>0.2004167</v>
      </c>
      <c r="O171" s="5">
        <v>1016453</v>
      </c>
      <c r="P171" s="76"/>
      <c r="Q171" s="9">
        <v>0.24595332986375171</v>
      </c>
      <c r="R171" s="2">
        <v>1.35</v>
      </c>
      <c r="S171" s="5">
        <v>185185.1851851852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10">
        <v>250000</v>
      </c>
      <c r="AA171" s="10">
        <v>0</v>
      </c>
      <c r="AB171" s="10">
        <v>0</v>
      </c>
      <c r="AC171" s="10">
        <v>0</v>
      </c>
      <c r="AD171" s="11">
        <v>0</v>
      </c>
      <c r="AE171" s="28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1"/>
    </row>
    <row r="172" spans="1:50" x14ac:dyDescent="0.25">
      <c r="A172" s="47" t="s">
        <v>281</v>
      </c>
      <c r="B172" s="47" t="s">
        <v>282</v>
      </c>
      <c r="C172" s="63" t="s">
        <v>51</v>
      </c>
      <c r="D172" s="23" t="s">
        <v>113</v>
      </c>
      <c r="E172" s="64" t="s">
        <v>534</v>
      </c>
      <c r="F172" s="2" t="s">
        <v>41</v>
      </c>
      <c r="G172" s="2" t="s">
        <v>616</v>
      </c>
      <c r="H172" s="2" t="s">
        <v>103</v>
      </c>
      <c r="I172" s="44" t="s">
        <v>165</v>
      </c>
      <c r="J172" s="2" t="s">
        <v>166</v>
      </c>
      <c r="K172" s="5">
        <v>500000</v>
      </c>
      <c r="L172" s="5">
        <v>124465073</v>
      </c>
      <c r="M172" s="5">
        <v>431625524</v>
      </c>
      <c r="N172" s="13">
        <v>1.55E-2</v>
      </c>
      <c r="O172" s="5">
        <v>4760987</v>
      </c>
      <c r="P172" s="76"/>
      <c r="Q172" s="9">
        <v>0.1050202405509614</v>
      </c>
      <c r="R172" s="2">
        <v>1.35</v>
      </c>
      <c r="S172" s="5">
        <v>370370.37037037028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10">
        <v>500000</v>
      </c>
      <c r="AA172" s="10">
        <v>0</v>
      </c>
      <c r="AB172" s="10">
        <v>0</v>
      </c>
      <c r="AC172" s="10">
        <v>0</v>
      </c>
      <c r="AD172" s="11">
        <v>0</v>
      </c>
      <c r="AE172" s="28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1"/>
    </row>
    <row r="173" spans="1:50" x14ac:dyDescent="0.25">
      <c r="A173" s="47" t="s">
        <v>283</v>
      </c>
      <c r="B173" s="47" t="s">
        <v>284</v>
      </c>
      <c r="C173" s="63" t="s">
        <v>51</v>
      </c>
      <c r="D173" s="23" t="s">
        <v>131</v>
      </c>
      <c r="E173" s="62" t="s">
        <v>3</v>
      </c>
      <c r="F173" s="2" t="s">
        <v>33</v>
      </c>
      <c r="G173" s="2" t="s">
        <v>616</v>
      </c>
      <c r="H173" s="2" t="s">
        <v>103</v>
      </c>
      <c r="I173" s="44" t="s">
        <v>165</v>
      </c>
      <c r="J173" s="2" t="s">
        <v>166</v>
      </c>
      <c r="K173" s="5">
        <v>500000</v>
      </c>
      <c r="L173" s="5">
        <v>27414200</v>
      </c>
      <c r="M173" s="5">
        <v>43870915</v>
      </c>
      <c r="N173" s="13">
        <v>0.7</v>
      </c>
      <c r="O173" s="5">
        <v>11519700</v>
      </c>
      <c r="P173" s="76"/>
      <c r="Q173" s="9">
        <v>4.3403908087884233E-2</v>
      </c>
      <c r="R173" s="2">
        <v>1.35</v>
      </c>
      <c r="S173" s="5">
        <v>370370.37037037028</v>
      </c>
      <c r="T173" s="5">
        <v>0</v>
      </c>
      <c r="U173" s="5">
        <v>0</v>
      </c>
      <c r="V173" s="5">
        <v>0</v>
      </c>
      <c r="W173" s="5">
        <v>500000</v>
      </c>
      <c r="X173" s="5">
        <v>0</v>
      </c>
      <c r="Y173" s="5">
        <v>0</v>
      </c>
      <c r="Z173" s="10">
        <v>0</v>
      </c>
      <c r="AA173" s="10">
        <v>0</v>
      </c>
      <c r="AB173" s="10">
        <v>0</v>
      </c>
      <c r="AC173" s="10">
        <v>0</v>
      </c>
      <c r="AD173" s="11">
        <v>0</v>
      </c>
      <c r="AE173" s="28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1"/>
    </row>
    <row r="174" spans="1:50" x14ac:dyDescent="0.25">
      <c r="A174" s="47" t="s">
        <v>285</v>
      </c>
      <c r="B174" s="47" t="s">
        <v>286</v>
      </c>
      <c r="C174" s="2" t="s">
        <v>31</v>
      </c>
      <c r="D174" s="22" t="s">
        <v>44</v>
      </c>
      <c r="E174" s="64" t="s">
        <v>534</v>
      </c>
      <c r="F174" s="2" t="s">
        <v>41</v>
      </c>
      <c r="G174" s="31" t="s">
        <v>34</v>
      </c>
      <c r="H174" s="2" t="s">
        <v>35</v>
      </c>
      <c r="I174" s="44">
        <v>9</v>
      </c>
      <c r="J174" s="2" t="s">
        <v>287</v>
      </c>
      <c r="K174" s="5">
        <v>2150000</v>
      </c>
      <c r="L174" s="5">
        <v>33061622</v>
      </c>
      <c r="M174" s="5">
        <v>59506692</v>
      </c>
      <c r="N174" s="13">
        <v>0.59530000000000005</v>
      </c>
      <c r="O174" s="5">
        <v>15742750</v>
      </c>
      <c r="P174" s="5">
        <v>8056409</v>
      </c>
      <c r="Q174" s="9">
        <v>0.1365708024328659</v>
      </c>
      <c r="R174" s="2">
        <v>1.35</v>
      </c>
      <c r="S174" s="5">
        <v>1592592.592592593</v>
      </c>
      <c r="T174" s="5">
        <v>0</v>
      </c>
      <c r="U174" s="5">
        <v>0</v>
      </c>
      <c r="V174" s="5">
        <v>0</v>
      </c>
      <c r="W174" s="5">
        <v>0</v>
      </c>
      <c r="X174" s="5">
        <v>600000</v>
      </c>
      <c r="Y174" s="5">
        <v>0</v>
      </c>
      <c r="Z174" s="10">
        <v>0</v>
      </c>
      <c r="AA174" s="10">
        <v>0</v>
      </c>
      <c r="AB174" s="10">
        <v>1550000</v>
      </c>
      <c r="AC174" s="10">
        <v>0</v>
      </c>
      <c r="AD174" s="11">
        <v>0</v>
      </c>
      <c r="AE174" s="28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1"/>
    </row>
    <row r="175" spans="1:50" x14ac:dyDescent="0.25">
      <c r="A175" s="47" t="s">
        <v>288</v>
      </c>
      <c r="B175" s="47" t="s">
        <v>289</v>
      </c>
      <c r="C175" s="63" t="s">
        <v>31</v>
      </c>
      <c r="D175" s="22" t="s">
        <v>40</v>
      </c>
      <c r="E175" s="64" t="s">
        <v>534</v>
      </c>
      <c r="F175" s="2" t="s">
        <v>41</v>
      </c>
      <c r="G175" s="31" t="s">
        <v>34</v>
      </c>
      <c r="H175" s="2" t="s">
        <v>35</v>
      </c>
      <c r="I175" s="44">
        <v>9</v>
      </c>
      <c r="J175" s="2" t="s">
        <v>287</v>
      </c>
      <c r="K175" s="5">
        <v>1117000</v>
      </c>
      <c r="L175" s="5">
        <v>55915280</v>
      </c>
      <c r="M175" s="5">
        <v>166195951</v>
      </c>
      <c r="N175" s="13">
        <v>6.5199999999999994E-2</v>
      </c>
      <c r="O175" s="5">
        <v>7185705</v>
      </c>
      <c r="P175" s="5">
        <v>7185705</v>
      </c>
      <c r="Q175" s="9">
        <v>0.1554475169798927</v>
      </c>
      <c r="R175" s="2">
        <v>1.35</v>
      </c>
      <c r="S175" s="5">
        <v>827407.4074074073</v>
      </c>
      <c r="T175" s="5">
        <v>0</v>
      </c>
      <c r="U175" s="5">
        <v>117000</v>
      </c>
      <c r="V175" s="5">
        <v>0</v>
      </c>
      <c r="W175" s="5">
        <v>0</v>
      </c>
      <c r="X175" s="5">
        <v>400000</v>
      </c>
      <c r="Y175" s="5">
        <v>0</v>
      </c>
      <c r="Z175" s="10">
        <v>0</v>
      </c>
      <c r="AA175" s="10">
        <v>0</v>
      </c>
      <c r="AB175" s="10">
        <v>600000</v>
      </c>
      <c r="AC175" s="10">
        <v>0</v>
      </c>
      <c r="AD175" s="11">
        <v>0</v>
      </c>
      <c r="AE175" s="28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1"/>
    </row>
    <row r="176" spans="1:50" x14ac:dyDescent="0.25">
      <c r="A176" s="47" t="s">
        <v>290</v>
      </c>
      <c r="B176" s="47" t="s">
        <v>191</v>
      </c>
      <c r="C176" s="2" t="s">
        <v>31</v>
      </c>
      <c r="D176" s="22" t="s">
        <v>55</v>
      </c>
      <c r="E176" s="62" t="s">
        <v>3</v>
      </c>
      <c r="F176" s="2" t="s">
        <v>33</v>
      </c>
      <c r="G176" s="31" t="s">
        <v>34</v>
      </c>
      <c r="H176" s="2" t="s">
        <v>35</v>
      </c>
      <c r="I176" s="44">
        <v>9</v>
      </c>
      <c r="J176" s="2" t="s">
        <v>287</v>
      </c>
      <c r="K176" s="5">
        <v>332245</v>
      </c>
      <c r="L176" s="5">
        <v>7124315</v>
      </c>
      <c r="M176" s="5">
        <v>26728680</v>
      </c>
      <c r="N176" s="13">
        <v>0.14000000000000001</v>
      </c>
      <c r="O176" s="5">
        <v>2744611</v>
      </c>
      <c r="P176" s="5">
        <v>187641</v>
      </c>
      <c r="Q176" s="9">
        <v>0.1210535846427782</v>
      </c>
      <c r="R176" s="2">
        <v>1.35</v>
      </c>
      <c r="S176" s="5">
        <v>246107.40740740739</v>
      </c>
      <c r="T176" s="5">
        <v>166122.5</v>
      </c>
      <c r="U176" s="5">
        <v>0</v>
      </c>
      <c r="V176" s="5">
        <v>166122.5</v>
      </c>
      <c r="W176" s="5">
        <v>0</v>
      </c>
      <c r="X176" s="5">
        <v>0</v>
      </c>
      <c r="Y176" s="5">
        <v>0</v>
      </c>
      <c r="Z176" s="10">
        <v>0</v>
      </c>
      <c r="AA176" s="10">
        <v>0</v>
      </c>
      <c r="AB176" s="10">
        <v>0</v>
      </c>
      <c r="AC176" s="10">
        <v>0</v>
      </c>
      <c r="AD176" s="11">
        <v>0</v>
      </c>
      <c r="AE176" s="28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1"/>
    </row>
    <row r="177" spans="1:50" x14ac:dyDescent="0.25">
      <c r="A177" s="47" t="s">
        <v>291</v>
      </c>
      <c r="B177" s="47" t="s">
        <v>193</v>
      </c>
      <c r="C177" s="2" t="s">
        <v>31</v>
      </c>
      <c r="D177" s="22" t="s">
        <v>55</v>
      </c>
      <c r="E177" s="64" t="s">
        <v>534</v>
      </c>
      <c r="F177" s="2" t="s">
        <v>41</v>
      </c>
      <c r="G177" s="31" t="s">
        <v>34</v>
      </c>
      <c r="H177" s="2" t="s">
        <v>35</v>
      </c>
      <c r="I177" s="44">
        <v>9</v>
      </c>
      <c r="J177" s="2" t="s">
        <v>287</v>
      </c>
      <c r="K177" s="5">
        <v>332245</v>
      </c>
      <c r="L177" s="5">
        <v>7124315</v>
      </c>
      <c r="M177" s="5">
        <v>26728680</v>
      </c>
      <c r="N177" s="13">
        <v>0.14000000000000001</v>
      </c>
      <c r="O177" s="5">
        <v>2744611</v>
      </c>
      <c r="P177" s="5">
        <v>187641</v>
      </c>
      <c r="Q177" s="9">
        <v>0.1210535846427782</v>
      </c>
      <c r="R177" s="2">
        <v>1.35</v>
      </c>
      <c r="S177" s="5">
        <v>246107.40740740739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10">
        <v>0</v>
      </c>
      <c r="AA177" s="10">
        <v>0</v>
      </c>
      <c r="AB177" s="10">
        <v>332245</v>
      </c>
      <c r="AC177" s="10">
        <v>0</v>
      </c>
      <c r="AD177" s="11">
        <v>0</v>
      </c>
      <c r="AE177" s="28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1"/>
    </row>
    <row r="178" spans="1:50" x14ac:dyDescent="0.25">
      <c r="A178" s="47" t="s">
        <v>292</v>
      </c>
      <c r="B178" s="47" t="s">
        <v>220</v>
      </c>
      <c r="C178" s="2" t="s">
        <v>31</v>
      </c>
      <c r="D178" s="22" t="s">
        <v>218</v>
      </c>
      <c r="E178" s="62" t="s">
        <v>3</v>
      </c>
      <c r="F178" s="2" t="s">
        <v>33</v>
      </c>
      <c r="G178" s="31" t="s">
        <v>48</v>
      </c>
      <c r="H178" s="2" t="s">
        <v>35</v>
      </c>
      <c r="I178" s="44">
        <v>9</v>
      </c>
      <c r="J178" s="2" t="s">
        <v>287</v>
      </c>
      <c r="K178" s="5">
        <v>280000</v>
      </c>
      <c r="L178" s="5">
        <v>56691660</v>
      </c>
      <c r="M178" s="5">
        <v>133475841</v>
      </c>
      <c r="N178" s="13">
        <v>1.77E-2</v>
      </c>
      <c r="O178" s="5">
        <v>1359080</v>
      </c>
      <c r="P178" s="5"/>
      <c r="Q178" s="9">
        <v>0.20602172057568349</v>
      </c>
      <c r="R178" s="2">
        <v>1.35</v>
      </c>
      <c r="S178" s="5">
        <v>207407.40740740739</v>
      </c>
      <c r="T178" s="5">
        <v>140000</v>
      </c>
      <c r="U178" s="5">
        <v>0</v>
      </c>
      <c r="V178" s="5">
        <v>140000</v>
      </c>
      <c r="W178" s="5">
        <v>0</v>
      </c>
      <c r="X178" s="5">
        <v>0</v>
      </c>
      <c r="Y178" s="5">
        <v>0</v>
      </c>
      <c r="Z178" s="10">
        <v>0</v>
      </c>
      <c r="AA178" s="10">
        <v>0</v>
      </c>
      <c r="AB178" s="10">
        <v>0</v>
      </c>
      <c r="AC178" s="10">
        <v>0</v>
      </c>
      <c r="AD178" s="11">
        <v>0</v>
      </c>
      <c r="AE178" s="28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1"/>
    </row>
    <row r="179" spans="1:50" x14ac:dyDescent="0.25">
      <c r="A179" s="47" t="s">
        <v>293</v>
      </c>
      <c r="B179" s="47" t="s">
        <v>217</v>
      </c>
      <c r="C179" s="2" t="s">
        <v>31</v>
      </c>
      <c r="D179" s="22" t="s">
        <v>218</v>
      </c>
      <c r="E179" s="62" t="s">
        <v>3</v>
      </c>
      <c r="F179" s="2" t="s">
        <v>33</v>
      </c>
      <c r="G179" s="31" t="s">
        <v>34</v>
      </c>
      <c r="H179" s="2" t="s">
        <v>35</v>
      </c>
      <c r="I179" s="44">
        <v>9</v>
      </c>
      <c r="J179" s="2" t="s">
        <v>287</v>
      </c>
      <c r="K179" s="5">
        <v>1120000</v>
      </c>
      <c r="L179" s="5">
        <v>113528220</v>
      </c>
      <c r="M179" s="5">
        <v>301964751</v>
      </c>
      <c r="N179" s="13">
        <v>2.4500000000000001E-2</v>
      </c>
      <c r="O179" s="5">
        <v>4616695</v>
      </c>
      <c r="P179" s="5">
        <v>4616695</v>
      </c>
      <c r="Q179" s="9">
        <v>0.24259778911104149</v>
      </c>
      <c r="R179" s="2">
        <v>1.35</v>
      </c>
      <c r="S179" s="5">
        <v>829629.62962962955</v>
      </c>
      <c r="T179" s="5">
        <v>560000</v>
      </c>
      <c r="U179" s="5">
        <v>0</v>
      </c>
      <c r="V179" s="5">
        <v>560000</v>
      </c>
      <c r="W179" s="5">
        <v>0</v>
      </c>
      <c r="X179" s="5">
        <v>0</v>
      </c>
      <c r="Y179" s="5">
        <v>0</v>
      </c>
      <c r="Z179" s="10">
        <v>0</v>
      </c>
      <c r="AA179" s="10">
        <v>0</v>
      </c>
      <c r="AB179" s="10">
        <v>0</v>
      </c>
      <c r="AC179" s="10">
        <v>0</v>
      </c>
      <c r="AD179" s="11">
        <v>0</v>
      </c>
      <c r="AE179" s="28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1"/>
    </row>
    <row r="180" spans="1:50" x14ac:dyDescent="0.25">
      <c r="A180" s="47" t="s">
        <v>294</v>
      </c>
      <c r="B180" s="47" t="s">
        <v>295</v>
      </c>
      <c r="C180" s="2" t="s">
        <v>31</v>
      </c>
      <c r="D180" s="22" t="s">
        <v>47</v>
      </c>
      <c r="E180" s="62" t="s">
        <v>3</v>
      </c>
      <c r="F180" s="2" t="s">
        <v>33</v>
      </c>
      <c r="G180" s="31" t="s">
        <v>48</v>
      </c>
      <c r="H180" s="2" t="s">
        <v>35</v>
      </c>
      <c r="I180" s="44">
        <v>9</v>
      </c>
      <c r="J180" s="2" t="s">
        <v>287</v>
      </c>
      <c r="K180" s="5">
        <v>511616</v>
      </c>
      <c r="L180" s="5">
        <v>27874890</v>
      </c>
      <c r="M180" s="5">
        <v>35119276</v>
      </c>
      <c r="N180" s="13">
        <v>0.32150000000000001</v>
      </c>
      <c r="O180" s="5">
        <v>2329070</v>
      </c>
      <c r="P180" s="5"/>
      <c r="Q180" s="9">
        <v>0.21966535999347381</v>
      </c>
      <c r="R180" s="2">
        <v>1.35</v>
      </c>
      <c r="S180" s="5">
        <v>378974.81481481477</v>
      </c>
      <c r="T180" s="5">
        <v>255808</v>
      </c>
      <c r="U180" s="5">
        <v>0</v>
      </c>
      <c r="V180" s="5">
        <v>0</v>
      </c>
      <c r="W180" s="5">
        <v>255808</v>
      </c>
      <c r="X180" s="5">
        <v>0</v>
      </c>
      <c r="Y180" s="5">
        <v>0</v>
      </c>
      <c r="Z180" s="10">
        <v>0</v>
      </c>
      <c r="AA180" s="10">
        <v>0</v>
      </c>
      <c r="AB180" s="10">
        <v>0</v>
      </c>
      <c r="AC180" s="10">
        <v>0</v>
      </c>
      <c r="AD180" s="11">
        <v>0</v>
      </c>
      <c r="AE180" s="28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1"/>
    </row>
    <row r="181" spans="1:50" x14ac:dyDescent="0.25">
      <c r="A181" s="47" t="s">
        <v>296</v>
      </c>
      <c r="B181" s="47" t="s">
        <v>209</v>
      </c>
      <c r="C181" s="2" t="s">
        <v>31</v>
      </c>
      <c r="D181" s="22" t="s">
        <v>47</v>
      </c>
      <c r="E181" s="62" t="s">
        <v>3</v>
      </c>
      <c r="F181" s="2" t="s">
        <v>33</v>
      </c>
      <c r="G181" s="31" t="s">
        <v>34</v>
      </c>
      <c r="H181" s="2" t="s">
        <v>35</v>
      </c>
      <c r="I181" s="44">
        <v>9</v>
      </c>
      <c r="J181" s="2" t="s">
        <v>287</v>
      </c>
      <c r="K181" s="5">
        <v>988384</v>
      </c>
      <c r="L181" s="5">
        <v>11515440</v>
      </c>
      <c r="M181" s="5">
        <v>21029520</v>
      </c>
      <c r="N181" s="13">
        <v>0.40200000000000002</v>
      </c>
      <c r="O181" s="5">
        <v>3824660</v>
      </c>
      <c r="P181" s="5"/>
      <c r="Q181" s="9">
        <v>0.25842401677534738</v>
      </c>
      <c r="R181" s="2">
        <v>1.35</v>
      </c>
      <c r="S181" s="5">
        <v>732136.29629629629</v>
      </c>
      <c r="T181" s="5">
        <v>494192</v>
      </c>
      <c r="U181" s="5">
        <v>0</v>
      </c>
      <c r="V181" s="5">
        <v>0</v>
      </c>
      <c r="W181" s="5">
        <v>494192</v>
      </c>
      <c r="X181" s="5">
        <v>0</v>
      </c>
      <c r="Y181" s="5">
        <v>0</v>
      </c>
      <c r="Z181" s="10">
        <v>0</v>
      </c>
      <c r="AA181" s="10">
        <v>0</v>
      </c>
      <c r="AB181" s="10">
        <v>0</v>
      </c>
      <c r="AC181" s="10">
        <v>0</v>
      </c>
      <c r="AD181" s="11">
        <v>0</v>
      </c>
      <c r="AE181" s="28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1"/>
    </row>
    <row r="182" spans="1:50" x14ac:dyDescent="0.25">
      <c r="A182" s="47" t="s">
        <v>297</v>
      </c>
      <c r="B182" s="47" t="s">
        <v>298</v>
      </c>
      <c r="C182" s="2" t="s">
        <v>31</v>
      </c>
      <c r="D182" s="22" t="s">
        <v>47</v>
      </c>
      <c r="E182" s="64" t="s">
        <v>534</v>
      </c>
      <c r="F182" s="2" t="s">
        <v>41</v>
      </c>
      <c r="G182" s="31" t="s">
        <v>48</v>
      </c>
      <c r="H182" s="2" t="s">
        <v>35</v>
      </c>
      <c r="I182" s="44">
        <v>9</v>
      </c>
      <c r="J182" s="2" t="s">
        <v>287</v>
      </c>
      <c r="K182" s="5">
        <v>511616</v>
      </c>
      <c r="L182" s="5">
        <v>27874890</v>
      </c>
      <c r="M182" s="5">
        <v>35119276</v>
      </c>
      <c r="N182" s="13">
        <v>0.32150000000000001</v>
      </c>
      <c r="O182" s="5">
        <v>2329070</v>
      </c>
      <c r="P182" s="5"/>
      <c r="Q182" s="9">
        <v>0.21966535999347381</v>
      </c>
      <c r="R182" s="2">
        <v>1.35</v>
      </c>
      <c r="S182" s="5">
        <v>378974.81481481477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10">
        <v>0</v>
      </c>
      <c r="AA182" s="10">
        <v>0</v>
      </c>
      <c r="AB182" s="10">
        <v>511616</v>
      </c>
      <c r="AC182" s="10">
        <v>0</v>
      </c>
      <c r="AD182" s="11">
        <v>0</v>
      </c>
      <c r="AE182" s="28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1"/>
    </row>
    <row r="183" spans="1:50" x14ac:dyDescent="0.25">
      <c r="A183" s="47" t="s">
        <v>299</v>
      </c>
      <c r="B183" s="47" t="s">
        <v>300</v>
      </c>
      <c r="C183" s="2" t="s">
        <v>31</v>
      </c>
      <c r="D183" s="22" t="s">
        <v>47</v>
      </c>
      <c r="E183" s="64" t="s">
        <v>534</v>
      </c>
      <c r="F183" s="2" t="s">
        <v>41</v>
      </c>
      <c r="G183" s="31" t="s">
        <v>34</v>
      </c>
      <c r="H183" s="2" t="s">
        <v>35</v>
      </c>
      <c r="I183" s="44">
        <v>9</v>
      </c>
      <c r="J183" s="2" t="s">
        <v>287</v>
      </c>
      <c r="K183" s="5">
        <v>500000</v>
      </c>
      <c r="L183" s="5">
        <v>11515440</v>
      </c>
      <c r="M183" s="5">
        <v>21029520</v>
      </c>
      <c r="N183" s="13">
        <v>0.2034</v>
      </c>
      <c r="O183" s="5">
        <v>1934805</v>
      </c>
      <c r="P183" s="5"/>
      <c r="Q183" s="9">
        <v>0.25842397554275498</v>
      </c>
      <c r="R183" s="2">
        <v>1.35</v>
      </c>
      <c r="S183" s="5">
        <v>370370.37037037028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10">
        <v>0</v>
      </c>
      <c r="AA183" s="10">
        <v>0</v>
      </c>
      <c r="AB183" s="10">
        <v>500000</v>
      </c>
      <c r="AC183" s="10">
        <v>0</v>
      </c>
      <c r="AD183" s="11">
        <v>0</v>
      </c>
      <c r="AE183" s="28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1"/>
    </row>
    <row r="184" spans="1:50" x14ac:dyDescent="0.25">
      <c r="A184" s="47" t="s">
        <v>301</v>
      </c>
      <c r="B184" s="47" t="s">
        <v>64</v>
      </c>
      <c r="C184" s="63" t="s">
        <v>31</v>
      </c>
      <c r="D184" s="22" t="s">
        <v>65</v>
      </c>
      <c r="E184" s="62" t="s">
        <v>3</v>
      </c>
      <c r="F184" s="2" t="s">
        <v>33</v>
      </c>
      <c r="G184" s="31" t="s">
        <v>34</v>
      </c>
      <c r="H184" s="2" t="s">
        <v>35</v>
      </c>
      <c r="I184" s="44">
        <v>9</v>
      </c>
      <c r="J184" s="2" t="s">
        <v>287</v>
      </c>
      <c r="K184" s="5">
        <v>607493</v>
      </c>
      <c r="L184" s="5">
        <v>10304640</v>
      </c>
      <c r="M184" s="5">
        <v>19720836</v>
      </c>
      <c r="N184" s="13">
        <v>0.26550000000000001</v>
      </c>
      <c r="O184" s="5">
        <v>2500000</v>
      </c>
      <c r="P184" s="5">
        <v>2500000</v>
      </c>
      <c r="Q184" s="9">
        <v>0.2429972</v>
      </c>
      <c r="R184" s="2">
        <v>1.35</v>
      </c>
      <c r="S184" s="5">
        <v>449994.81481481477</v>
      </c>
      <c r="T184" s="5">
        <v>303746.5</v>
      </c>
      <c r="U184" s="5">
        <v>0</v>
      </c>
      <c r="V184" s="5">
        <v>0</v>
      </c>
      <c r="W184" s="5">
        <v>303746.5</v>
      </c>
      <c r="X184" s="5">
        <v>0</v>
      </c>
      <c r="Y184" s="5">
        <v>0</v>
      </c>
      <c r="Z184" s="10">
        <v>0</v>
      </c>
      <c r="AA184" s="10">
        <v>0</v>
      </c>
      <c r="AB184" s="10">
        <v>0</v>
      </c>
      <c r="AC184" s="10">
        <v>0</v>
      </c>
      <c r="AD184" s="11">
        <v>0</v>
      </c>
      <c r="AE184" s="28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1"/>
    </row>
    <row r="185" spans="1:50" x14ac:dyDescent="0.25">
      <c r="A185" s="48" t="s">
        <v>302</v>
      </c>
      <c r="B185" s="48" t="s">
        <v>67</v>
      </c>
      <c r="C185" s="63" t="s">
        <v>31</v>
      </c>
      <c r="D185" s="23" t="s">
        <v>65</v>
      </c>
      <c r="E185" s="62" t="s">
        <v>3</v>
      </c>
      <c r="F185" s="2" t="s">
        <v>33</v>
      </c>
      <c r="G185" s="31" t="s">
        <v>34</v>
      </c>
      <c r="H185" s="2" t="s">
        <v>35</v>
      </c>
      <c r="I185" s="44">
        <v>9</v>
      </c>
      <c r="J185" s="2" t="s">
        <v>287</v>
      </c>
      <c r="K185" s="5">
        <v>392507</v>
      </c>
      <c r="L185" s="5">
        <v>20279520</v>
      </c>
      <c r="M185" s="5">
        <v>28694692</v>
      </c>
      <c r="N185" s="13">
        <v>0.25</v>
      </c>
      <c r="O185" s="5">
        <v>2103793</v>
      </c>
      <c r="P185" s="14"/>
      <c r="Q185" s="9">
        <v>0.18657111227197731</v>
      </c>
      <c r="R185" s="2">
        <v>1.35</v>
      </c>
      <c r="S185" s="5">
        <v>290745.9259259259</v>
      </c>
      <c r="T185" s="5">
        <v>196253.5</v>
      </c>
      <c r="U185" s="5">
        <v>0</v>
      </c>
      <c r="V185" s="5">
        <v>0</v>
      </c>
      <c r="W185" s="5">
        <v>196253.5</v>
      </c>
      <c r="X185" s="5">
        <v>0</v>
      </c>
      <c r="Y185" s="5">
        <v>0</v>
      </c>
      <c r="Z185" s="10">
        <v>0</v>
      </c>
      <c r="AA185" s="10">
        <v>0</v>
      </c>
      <c r="AB185" s="10">
        <v>0</v>
      </c>
      <c r="AC185" s="10">
        <v>0</v>
      </c>
      <c r="AD185" s="11">
        <v>0</v>
      </c>
      <c r="AE185" s="28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1"/>
    </row>
    <row r="186" spans="1:50" x14ac:dyDescent="0.25">
      <c r="A186" s="47" t="s">
        <v>303</v>
      </c>
      <c r="B186" s="47" t="s">
        <v>304</v>
      </c>
      <c r="C186" s="63" t="s">
        <v>31</v>
      </c>
      <c r="D186" s="22" t="s">
        <v>196</v>
      </c>
      <c r="E186" s="62" t="s">
        <v>3</v>
      </c>
      <c r="F186" s="2" t="s">
        <v>33</v>
      </c>
      <c r="G186" s="31" t="s">
        <v>34</v>
      </c>
      <c r="H186" s="2" t="s">
        <v>35</v>
      </c>
      <c r="I186" s="44">
        <v>9</v>
      </c>
      <c r="J186" s="2" t="s">
        <v>287</v>
      </c>
      <c r="K186" s="5">
        <v>500000</v>
      </c>
      <c r="L186" s="5">
        <v>10707168</v>
      </c>
      <c r="M186" s="5">
        <v>23621414</v>
      </c>
      <c r="N186" s="13">
        <v>0.252</v>
      </c>
      <c r="O186" s="5">
        <v>3254390</v>
      </c>
      <c r="P186" s="5"/>
      <c r="Q186" s="9">
        <v>0.15363862352084409</v>
      </c>
      <c r="R186" s="2">
        <v>1.35</v>
      </c>
      <c r="S186" s="5">
        <v>370370.37037037028</v>
      </c>
      <c r="T186" s="5">
        <v>0</v>
      </c>
      <c r="U186" s="5">
        <v>0</v>
      </c>
      <c r="V186" s="5">
        <v>0</v>
      </c>
      <c r="W186" s="5">
        <v>500000</v>
      </c>
      <c r="X186" s="5">
        <v>0</v>
      </c>
      <c r="Y186" s="5">
        <v>0</v>
      </c>
      <c r="Z186" s="10">
        <v>0</v>
      </c>
      <c r="AA186" s="10">
        <v>0</v>
      </c>
      <c r="AB186" s="10">
        <v>0</v>
      </c>
      <c r="AC186" s="10">
        <v>0</v>
      </c>
      <c r="AD186" s="11">
        <v>0</v>
      </c>
      <c r="AE186" s="28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1"/>
    </row>
    <row r="187" spans="1:50" x14ac:dyDescent="0.25">
      <c r="A187" s="47" t="s">
        <v>305</v>
      </c>
      <c r="B187" s="47" t="s">
        <v>306</v>
      </c>
      <c r="C187" s="63" t="s">
        <v>51</v>
      </c>
      <c r="D187" s="22" t="s">
        <v>98</v>
      </c>
      <c r="E187" s="62" t="s">
        <v>3</v>
      </c>
      <c r="F187" s="2" t="s">
        <v>33</v>
      </c>
      <c r="G187" s="31" t="s">
        <v>34</v>
      </c>
      <c r="H187" s="2" t="s">
        <v>35</v>
      </c>
      <c r="I187" s="44">
        <v>9</v>
      </c>
      <c r="J187" s="2" t="s">
        <v>287</v>
      </c>
      <c r="K187" s="5">
        <v>500000</v>
      </c>
      <c r="L187" s="5">
        <v>42231780</v>
      </c>
      <c r="M187" s="5">
        <v>57651182</v>
      </c>
      <c r="N187" s="13">
        <v>0.15720000000000001</v>
      </c>
      <c r="O187" s="5">
        <v>2423930</v>
      </c>
      <c r="P187" s="5"/>
      <c r="Q187" s="9">
        <v>0.2062765838947494</v>
      </c>
      <c r="R187" s="2">
        <v>1.35</v>
      </c>
      <c r="S187" s="5">
        <v>370370.37037037028</v>
      </c>
      <c r="T187" s="5">
        <v>250000</v>
      </c>
      <c r="U187" s="5">
        <v>0</v>
      </c>
      <c r="V187" s="5">
        <v>250000</v>
      </c>
      <c r="W187" s="5">
        <v>0</v>
      </c>
      <c r="X187" s="5">
        <v>0</v>
      </c>
      <c r="Y187" s="5">
        <v>0</v>
      </c>
      <c r="Z187" s="10">
        <v>0</v>
      </c>
      <c r="AA187" s="10">
        <v>0</v>
      </c>
      <c r="AB187" s="10">
        <v>0</v>
      </c>
      <c r="AC187" s="10">
        <v>0</v>
      </c>
      <c r="AD187" s="11">
        <v>0</v>
      </c>
      <c r="AE187" s="28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1"/>
    </row>
    <row r="188" spans="1:50" x14ac:dyDescent="0.25">
      <c r="A188" s="47" t="s">
        <v>307</v>
      </c>
      <c r="B188" s="47" t="s">
        <v>308</v>
      </c>
      <c r="C188" s="63" t="s">
        <v>51</v>
      </c>
      <c r="D188" s="22" t="s">
        <v>98</v>
      </c>
      <c r="E188" s="53" t="s">
        <v>534</v>
      </c>
      <c r="F188" s="2" t="s">
        <v>41</v>
      </c>
      <c r="G188" s="31" t="s">
        <v>34</v>
      </c>
      <c r="H188" s="2" t="s">
        <v>35</v>
      </c>
      <c r="I188" s="44">
        <v>9</v>
      </c>
      <c r="J188" s="2" t="s">
        <v>287</v>
      </c>
      <c r="K188" s="5">
        <v>500000</v>
      </c>
      <c r="L188" s="5">
        <v>42231780</v>
      </c>
      <c r="M188" s="5">
        <v>57651182</v>
      </c>
      <c r="N188" s="13">
        <v>0.15720000000000001</v>
      </c>
      <c r="O188" s="5">
        <v>2423930</v>
      </c>
      <c r="P188" s="5"/>
      <c r="Q188" s="9">
        <v>0.2062765838947494</v>
      </c>
      <c r="R188" s="2">
        <v>1.35</v>
      </c>
      <c r="S188" s="5">
        <v>370370.37037037028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10">
        <v>0</v>
      </c>
      <c r="AA188" s="10">
        <v>0</v>
      </c>
      <c r="AB188" s="10">
        <v>500000</v>
      </c>
      <c r="AC188" s="10">
        <v>0</v>
      </c>
      <c r="AD188" s="11">
        <v>0</v>
      </c>
      <c r="AE188" s="28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1"/>
    </row>
    <row r="189" spans="1:50" x14ac:dyDescent="0.25">
      <c r="A189" s="47" t="s">
        <v>309</v>
      </c>
      <c r="B189" s="47" t="s">
        <v>310</v>
      </c>
      <c r="C189" s="63" t="s">
        <v>51</v>
      </c>
      <c r="D189" s="22" t="s">
        <v>110</v>
      </c>
      <c r="E189" s="62" t="s">
        <v>3</v>
      </c>
      <c r="F189" s="2" t="s">
        <v>33</v>
      </c>
      <c r="G189" s="31" t="s">
        <v>34</v>
      </c>
      <c r="H189" s="2" t="s">
        <v>35</v>
      </c>
      <c r="I189" s="44">
        <v>9</v>
      </c>
      <c r="J189" s="2" t="s">
        <v>287</v>
      </c>
      <c r="K189" s="5">
        <v>450000</v>
      </c>
      <c r="L189" s="5">
        <v>4155438</v>
      </c>
      <c r="M189" s="5">
        <v>12245729</v>
      </c>
      <c r="N189" s="13">
        <v>0.3785</v>
      </c>
      <c r="O189" s="5">
        <v>3062175</v>
      </c>
      <c r="P189" s="5"/>
      <c r="Q189" s="9">
        <v>0.14695437066790759</v>
      </c>
      <c r="R189" s="2">
        <v>1.35</v>
      </c>
      <c r="S189" s="5">
        <v>333333.33333333331</v>
      </c>
      <c r="T189" s="5">
        <v>22500</v>
      </c>
      <c r="U189" s="5">
        <v>0</v>
      </c>
      <c r="V189" s="5">
        <v>187500</v>
      </c>
      <c r="W189" s="5">
        <v>240000</v>
      </c>
      <c r="X189" s="5">
        <v>0</v>
      </c>
      <c r="Y189" s="5">
        <v>0</v>
      </c>
      <c r="Z189" s="10">
        <v>0</v>
      </c>
      <c r="AA189" s="10">
        <v>0</v>
      </c>
      <c r="AB189" s="10">
        <v>0</v>
      </c>
      <c r="AC189" s="10">
        <v>0</v>
      </c>
      <c r="AD189" s="11">
        <v>0</v>
      </c>
      <c r="AE189" s="28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1"/>
    </row>
    <row r="190" spans="1:50" x14ac:dyDescent="0.25">
      <c r="A190" s="47" t="s">
        <v>311</v>
      </c>
      <c r="B190" s="47" t="s">
        <v>235</v>
      </c>
      <c r="C190" s="63" t="s">
        <v>51</v>
      </c>
      <c r="D190" s="22" t="s">
        <v>110</v>
      </c>
      <c r="E190" s="62" t="s">
        <v>3</v>
      </c>
      <c r="F190" s="2" t="s">
        <v>33</v>
      </c>
      <c r="G190" s="31" t="s">
        <v>34</v>
      </c>
      <c r="H190" s="2" t="s">
        <v>35</v>
      </c>
      <c r="I190" s="44">
        <v>9</v>
      </c>
      <c r="J190" s="2" t="s">
        <v>287</v>
      </c>
      <c r="K190" s="5">
        <v>450000</v>
      </c>
      <c r="L190" s="5">
        <v>53062716</v>
      </c>
      <c r="M190" s="5">
        <v>122328568</v>
      </c>
      <c r="N190" s="13">
        <v>3.5200000000000002E-2</v>
      </c>
      <c r="O190" s="5">
        <v>2438158</v>
      </c>
      <c r="P190" s="5"/>
      <c r="Q190" s="9">
        <v>0.18456556137871291</v>
      </c>
      <c r="R190" s="2">
        <v>1.35</v>
      </c>
      <c r="S190" s="5">
        <v>333333.33333333331</v>
      </c>
      <c r="T190" s="5">
        <v>22500</v>
      </c>
      <c r="U190" s="5">
        <v>0</v>
      </c>
      <c r="V190" s="5">
        <v>187500</v>
      </c>
      <c r="W190" s="5">
        <v>240000</v>
      </c>
      <c r="X190" s="5">
        <v>0</v>
      </c>
      <c r="Y190" s="5">
        <v>0</v>
      </c>
      <c r="Z190" s="10">
        <v>0</v>
      </c>
      <c r="AA190" s="10">
        <v>0</v>
      </c>
      <c r="AB190" s="10">
        <v>0</v>
      </c>
      <c r="AC190" s="10">
        <v>0</v>
      </c>
      <c r="AD190" s="11">
        <v>0</v>
      </c>
      <c r="AE190" s="28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1"/>
    </row>
    <row r="191" spans="1:50" x14ac:dyDescent="0.25">
      <c r="A191" s="47" t="s">
        <v>312</v>
      </c>
      <c r="B191" s="47" t="s">
        <v>313</v>
      </c>
      <c r="C191" s="63" t="s">
        <v>51</v>
      </c>
      <c r="D191" s="22" t="s">
        <v>110</v>
      </c>
      <c r="E191" s="62" t="s">
        <v>3</v>
      </c>
      <c r="F191" s="2" t="s">
        <v>33</v>
      </c>
      <c r="G191" s="31" t="s">
        <v>34</v>
      </c>
      <c r="H191" s="2" t="s">
        <v>35</v>
      </c>
      <c r="I191" s="44">
        <v>9</v>
      </c>
      <c r="J191" s="2" t="s">
        <v>287</v>
      </c>
      <c r="K191" s="5">
        <v>600000</v>
      </c>
      <c r="L191" s="5">
        <v>75096882</v>
      </c>
      <c r="M191" s="5">
        <v>130069413</v>
      </c>
      <c r="N191" s="13">
        <v>4.82E-2</v>
      </c>
      <c r="O191" s="5">
        <v>2649676</v>
      </c>
      <c r="P191" s="5"/>
      <c r="Q191" s="9">
        <v>0.22644278017387789</v>
      </c>
      <c r="R191" s="2">
        <v>1.35</v>
      </c>
      <c r="S191" s="5">
        <v>444444.44444444438</v>
      </c>
      <c r="T191" s="5">
        <v>30000</v>
      </c>
      <c r="U191" s="5">
        <v>0</v>
      </c>
      <c r="V191" s="5">
        <v>250000</v>
      </c>
      <c r="W191" s="5">
        <v>320000</v>
      </c>
      <c r="X191" s="5">
        <v>0</v>
      </c>
      <c r="Y191" s="5">
        <v>0</v>
      </c>
      <c r="Z191" s="10">
        <v>0</v>
      </c>
      <c r="AA191" s="10">
        <v>0</v>
      </c>
      <c r="AB191" s="10">
        <v>0</v>
      </c>
      <c r="AC191" s="10">
        <v>0</v>
      </c>
      <c r="AD191" s="11">
        <v>0</v>
      </c>
      <c r="AE191" s="28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1"/>
    </row>
    <row r="192" spans="1:50" x14ac:dyDescent="0.25">
      <c r="A192" s="47" t="s">
        <v>314</v>
      </c>
      <c r="B192" s="47" t="s">
        <v>239</v>
      </c>
      <c r="C192" s="63" t="s">
        <v>51</v>
      </c>
      <c r="D192" s="22" t="s">
        <v>110</v>
      </c>
      <c r="E192" s="62" t="s">
        <v>3</v>
      </c>
      <c r="F192" s="2" t="s">
        <v>33</v>
      </c>
      <c r="G192" s="31" t="s">
        <v>34</v>
      </c>
      <c r="H192" s="2" t="s">
        <v>35</v>
      </c>
      <c r="I192" s="44">
        <v>9</v>
      </c>
      <c r="J192" s="2" t="s">
        <v>287</v>
      </c>
      <c r="K192" s="5">
        <v>1500000</v>
      </c>
      <c r="L192" s="5">
        <v>9942954</v>
      </c>
      <c r="M192" s="5">
        <v>20815866</v>
      </c>
      <c r="N192" s="13">
        <v>0.60129999999999995</v>
      </c>
      <c r="O192" s="5">
        <v>6537882</v>
      </c>
      <c r="P192" s="5"/>
      <c r="Q192" s="9">
        <v>0.22943210048758911</v>
      </c>
      <c r="R192" s="2">
        <v>1.35</v>
      </c>
      <c r="S192" s="5">
        <v>1111111.111111111</v>
      </c>
      <c r="T192" s="5">
        <v>75000</v>
      </c>
      <c r="U192" s="5">
        <v>0</v>
      </c>
      <c r="V192" s="5">
        <v>625000</v>
      </c>
      <c r="W192" s="5">
        <v>800000</v>
      </c>
      <c r="X192" s="5">
        <v>0</v>
      </c>
      <c r="Y192" s="5">
        <v>0</v>
      </c>
      <c r="Z192" s="10">
        <v>0</v>
      </c>
      <c r="AA192" s="10">
        <v>0</v>
      </c>
      <c r="AB192" s="10">
        <v>0</v>
      </c>
      <c r="AC192" s="10">
        <v>0</v>
      </c>
      <c r="AD192" s="11">
        <v>0</v>
      </c>
      <c r="AE192" s="28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1"/>
    </row>
    <row r="193" spans="1:50" x14ac:dyDescent="0.25">
      <c r="A193" s="47" t="s">
        <v>315</v>
      </c>
      <c r="B193" s="47" t="s">
        <v>126</v>
      </c>
      <c r="C193" s="63" t="s">
        <v>51</v>
      </c>
      <c r="D193" s="22" t="s">
        <v>126</v>
      </c>
      <c r="E193" s="62" t="s">
        <v>3</v>
      </c>
      <c r="F193" s="2" t="s">
        <v>33</v>
      </c>
      <c r="G193" s="31" t="s">
        <v>34</v>
      </c>
      <c r="H193" s="2" t="s">
        <v>35</v>
      </c>
      <c r="I193" s="44">
        <v>9</v>
      </c>
      <c r="J193" s="2" t="s">
        <v>287</v>
      </c>
      <c r="K193" s="5">
        <v>1500000</v>
      </c>
      <c r="L193" s="5">
        <v>10318200</v>
      </c>
      <c r="M193" s="5">
        <v>10318200</v>
      </c>
      <c r="N193" s="13">
        <v>9.0999999999999998E-2</v>
      </c>
      <c r="O193" s="5">
        <v>6965058</v>
      </c>
      <c r="P193" s="5"/>
      <c r="Q193" s="9">
        <v>0.21536073353588731</v>
      </c>
      <c r="R193" s="2">
        <v>1.35</v>
      </c>
      <c r="S193" s="5">
        <v>1111111.111111111</v>
      </c>
      <c r="T193" s="5">
        <v>200000</v>
      </c>
      <c r="U193" s="5">
        <v>0</v>
      </c>
      <c r="V193" s="5">
        <v>300000</v>
      </c>
      <c r="W193" s="5">
        <v>700000</v>
      </c>
      <c r="X193" s="5">
        <v>0</v>
      </c>
      <c r="Y193" s="5">
        <v>0</v>
      </c>
      <c r="Z193" s="10">
        <v>0</v>
      </c>
      <c r="AA193" s="10">
        <v>300000</v>
      </c>
      <c r="AB193" s="10">
        <v>0</v>
      </c>
      <c r="AC193" s="10">
        <v>0</v>
      </c>
      <c r="AD193" s="11">
        <v>0</v>
      </c>
      <c r="AE193" s="28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1"/>
    </row>
    <row r="194" spans="1:50" x14ac:dyDescent="0.25">
      <c r="A194" s="47" t="s">
        <v>316</v>
      </c>
      <c r="B194" s="47" t="s">
        <v>85</v>
      </c>
      <c r="C194" s="63" t="s">
        <v>51</v>
      </c>
      <c r="D194" s="22" t="s">
        <v>85</v>
      </c>
      <c r="E194" s="62" t="s">
        <v>3</v>
      </c>
      <c r="F194" s="2" t="s">
        <v>33</v>
      </c>
      <c r="G194" s="31" t="s">
        <v>34</v>
      </c>
      <c r="H194" s="2" t="s">
        <v>35</v>
      </c>
      <c r="I194" s="44">
        <v>9</v>
      </c>
      <c r="J194" s="2" t="s">
        <v>287</v>
      </c>
      <c r="K194" s="5">
        <v>300000</v>
      </c>
      <c r="L194" s="5">
        <v>81235760</v>
      </c>
      <c r="M194" s="5">
        <v>178383102</v>
      </c>
      <c r="N194" s="13">
        <v>1.7399999999999999E-2</v>
      </c>
      <c r="O194" s="5">
        <v>1688421</v>
      </c>
      <c r="P194" s="5"/>
      <c r="Q194" s="9">
        <v>0.17768080354366589</v>
      </c>
      <c r="R194" s="2">
        <v>1.35</v>
      </c>
      <c r="S194" s="5">
        <v>222222.22222222219</v>
      </c>
      <c r="T194" s="5">
        <v>100000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10">
        <v>0</v>
      </c>
      <c r="AA194" s="10">
        <v>200000</v>
      </c>
      <c r="AB194" s="10">
        <v>0</v>
      </c>
      <c r="AC194" s="10">
        <v>0</v>
      </c>
      <c r="AD194" s="11">
        <v>0</v>
      </c>
      <c r="AE194" s="28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1"/>
    </row>
    <row r="195" spans="1:50" x14ac:dyDescent="0.25">
      <c r="A195" s="47" t="s">
        <v>317</v>
      </c>
      <c r="B195" s="47" t="s">
        <v>318</v>
      </c>
      <c r="C195" s="63" t="s">
        <v>51</v>
      </c>
      <c r="D195" s="22" t="s">
        <v>85</v>
      </c>
      <c r="E195" s="53" t="s">
        <v>535</v>
      </c>
      <c r="F195" s="2" t="s">
        <v>41</v>
      </c>
      <c r="G195" s="31" t="s">
        <v>34</v>
      </c>
      <c r="H195" s="2" t="s">
        <v>35</v>
      </c>
      <c r="I195" s="44">
        <v>9</v>
      </c>
      <c r="J195" s="2" t="s">
        <v>287</v>
      </c>
      <c r="K195" s="5">
        <v>1000000</v>
      </c>
      <c r="L195" s="5">
        <v>81235760</v>
      </c>
      <c r="M195" s="5">
        <v>178383102</v>
      </c>
      <c r="N195" s="13">
        <v>5.79E-2</v>
      </c>
      <c r="O195" s="5">
        <v>5628069</v>
      </c>
      <c r="P195" s="5"/>
      <c r="Q195" s="9">
        <v>0.17768083511413951</v>
      </c>
      <c r="R195" s="2">
        <v>1.35</v>
      </c>
      <c r="S195" s="5">
        <v>740740.74074074067</v>
      </c>
      <c r="T195" s="5">
        <v>0</v>
      </c>
      <c r="U195" s="5">
        <v>200000</v>
      </c>
      <c r="V195" s="5">
        <v>0</v>
      </c>
      <c r="W195" s="5">
        <v>0</v>
      </c>
      <c r="X195" s="5">
        <v>0</v>
      </c>
      <c r="Y195" s="5">
        <v>0</v>
      </c>
      <c r="Z195" s="10">
        <v>0</v>
      </c>
      <c r="AA195" s="10">
        <v>0</v>
      </c>
      <c r="AB195" s="10">
        <v>800000</v>
      </c>
      <c r="AC195" s="10">
        <v>0</v>
      </c>
      <c r="AD195" s="11">
        <v>0</v>
      </c>
      <c r="AE195" s="28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1"/>
    </row>
    <row r="196" spans="1:50" x14ac:dyDescent="0.25">
      <c r="A196" s="47" t="s">
        <v>319</v>
      </c>
      <c r="B196" s="47" t="s">
        <v>320</v>
      </c>
      <c r="C196" s="63" t="s">
        <v>51</v>
      </c>
      <c r="D196" s="22" t="s">
        <v>85</v>
      </c>
      <c r="E196" s="64" t="s">
        <v>534</v>
      </c>
      <c r="F196" s="2" t="s">
        <v>41</v>
      </c>
      <c r="G196" s="31" t="s">
        <v>34</v>
      </c>
      <c r="H196" s="2" t="s">
        <v>35</v>
      </c>
      <c r="I196" s="44">
        <v>9</v>
      </c>
      <c r="J196" s="2" t="s">
        <v>287</v>
      </c>
      <c r="K196" s="5">
        <v>2000026</v>
      </c>
      <c r="L196" s="5">
        <v>81235760</v>
      </c>
      <c r="M196" s="5">
        <v>178383102</v>
      </c>
      <c r="N196" s="13">
        <v>0.1159</v>
      </c>
      <c r="O196" s="5">
        <v>11256285</v>
      </c>
      <c r="P196" s="5"/>
      <c r="Q196" s="9">
        <v>0.1776808245349154</v>
      </c>
      <c r="R196" s="2">
        <v>1.35</v>
      </c>
      <c r="S196" s="5">
        <v>1481500.7407407409</v>
      </c>
      <c r="T196" s="5">
        <v>0</v>
      </c>
      <c r="U196" s="5">
        <v>1025818</v>
      </c>
      <c r="V196" s="5">
        <v>0</v>
      </c>
      <c r="W196" s="5">
        <v>0</v>
      </c>
      <c r="X196" s="5">
        <v>0</v>
      </c>
      <c r="Y196" s="5">
        <v>0</v>
      </c>
      <c r="Z196" s="10">
        <v>0</v>
      </c>
      <c r="AA196" s="10">
        <v>0</v>
      </c>
      <c r="AB196" s="10">
        <v>974208</v>
      </c>
      <c r="AC196" s="10">
        <v>0</v>
      </c>
      <c r="AD196" s="11">
        <v>0</v>
      </c>
      <c r="AE196" s="28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1"/>
    </row>
    <row r="197" spans="1:50" x14ac:dyDescent="0.25">
      <c r="A197" s="47" t="s">
        <v>321</v>
      </c>
      <c r="B197" s="47" t="s">
        <v>322</v>
      </c>
      <c r="C197" s="63" t="s">
        <v>51</v>
      </c>
      <c r="D197" s="22" t="s">
        <v>73</v>
      </c>
      <c r="E197" s="64" t="s">
        <v>535</v>
      </c>
      <c r="F197" s="2" t="s">
        <v>41</v>
      </c>
      <c r="G197" s="31" t="s">
        <v>48</v>
      </c>
      <c r="H197" s="2" t="s">
        <v>35</v>
      </c>
      <c r="I197" s="44">
        <v>9</v>
      </c>
      <c r="J197" s="2" t="s">
        <v>287</v>
      </c>
      <c r="K197" s="5">
        <v>350346</v>
      </c>
      <c r="L197" s="5">
        <v>78391856</v>
      </c>
      <c r="M197" s="5">
        <v>154170856</v>
      </c>
      <c r="N197" s="13">
        <v>0.02</v>
      </c>
      <c r="O197" s="5">
        <v>1515580</v>
      </c>
      <c r="P197" s="5"/>
      <c r="Q197" s="9">
        <v>0.23116298710724609</v>
      </c>
      <c r="R197" s="2">
        <v>1.35</v>
      </c>
      <c r="S197" s="5">
        <v>259515.5555555555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10">
        <v>0</v>
      </c>
      <c r="AA197" s="10">
        <v>0</v>
      </c>
      <c r="AB197" s="10">
        <v>350346</v>
      </c>
      <c r="AC197" s="10">
        <v>0</v>
      </c>
      <c r="AD197" s="11">
        <v>0</v>
      </c>
      <c r="AE197" s="28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1"/>
    </row>
    <row r="198" spans="1:50" x14ac:dyDescent="0.25">
      <c r="A198" s="47" t="s">
        <v>323</v>
      </c>
      <c r="B198" s="47" t="s">
        <v>324</v>
      </c>
      <c r="C198" s="63" t="s">
        <v>51</v>
      </c>
      <c r="D198" s="22" t="s">
        <v>73</v>
      </c>
      <c r="E198" s="64" t="s">
        <v>535</v>
      </c>
      <c r="F198" s="2" t="s">
        <v>41</v>
      </c>
      <c r="G198" s="31" t="s">
        <v>34</v>
      </c>
      <c r="H198" s="2" t="s">
        <v>35</v>
      </c>
      <c r="I198" s="44">
        <v>9</v>
      </c>
      <c r="J198" s="2" t="s">
        <v>287</v>
      </c>
      <c r="K198" s="5">
        <v>649654</v>
      </c>
      <c r="L198" s="5">
        <v>66110310</v>
      </c>
      <c r="M198" s="5">
        <v>84709278</v>
      </c>
      <c r="N198" s="13">
        <v>0.2455</v>
      </c>
      <c r="O198" s="5">
        <v>4566667</v>
      </c>
      <c r="P198" s="5">
        <v>3381021</v>
      </c>
      <c r="Q198" s="9">
        <v>0.14225998961605921</v>
      </c>
      <c r="R198" s="2">
        <v>1.35</v>
      </c>
      <c r="S198" s="5">
        <v>481225.18518518523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10">
        <v>0</v>
      </c>
      <c r="AA198" s="10">
        <v>0</v>
      </c>
      <c r="AB198" s="10">
        <v>649654</v>
      </c>
      <c r="AC198" s="10">
        <v>0</v>
      </c>
      <c r="AD198" s="11">
        <v>0</v>
      </c>
      <c r="AE198" s="28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1"/>
    </row>
    <row r="199" spans="1:50" x14ac:dyDescent="0.25">
      <c r="A199" s="47" t="s">
        <v>325</v>
      </c>
      <c r="B199" s="47" t="s">
        <v>130</v>
      </c>
      <c r="C199" s="63" t="s">
        <v>51</v>
      </c>
      <c r="D199" s="22" t="s">
        <v>131</v>
      </c>
      <c r="E199" s="62" t="s">
        <v>3</v>
      </c>
      <c r="F199" s="2" t="s">
        <v>33</v>
      </c>
      <c r="G199" s="2" t="s">
        <v>616</v>
      </c>
      <c r="H199" s="2" t="s">
        <v>103</v>
      </c>
      <c r="I199" s="44">
        <v>9</v>
      </c>
      <c r="J199" s="2" t="s">
        <v>287</v>
      </c>
      <c r="K199" s="5">
        <v>500000</v>
      </c>
      <c r="L199" s="5">
        <v>20943837</v>
      </c>
      <c r="M199" s="5">
        <v>37721992</v>
      </c>
      <c r="N199" s="13">
        <v>0.62729999999999997</v>
      </c>
      <c r="O199" s="5">
        <v>10524937</v>
      </c>
      <c r="P199" s="5"/>
      <c r="Q199" s="9">
        <v>4.7506222602567601E-2</v>
      </c>
      <c r="R199" s="2">
        <v>1.65</v>
      </c>
      <c r="S199" s="5">
        <v>303030.30303030298</v>
      </c>
      <c r="T199" s="5">
        <v>0</v>
      </c>
      <c r="U199" s="5">
        <v>0</v>
      </c>
      <c r="V199" s="5">
        <v>0</v>
      </c>
      <c r="W199" s="5">
        <v>500000</v>
      </c>
      <c r="X199" s="5">
        <v>0</v>
      </c>
      <c r="Y199" s="5">
        <v>0</v>
      </c>
      <c r="Z199" s="10">
        <v>0</v>
      </c>
      <c r="AA199" s="10">
        <v>0</v>
      </c>
      <c r="AB199" s="10">
        <v>0</v>
      </c>
      <c r="AC199" s="10">
        <v>0</v>
      </c>
      <c r="AD199" s="11">
        <v>0</v>
      </c>
      <c r="AE199" s="28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1"/>
    </row>
    <row r="200" spans="1:50" x14ac:dyDescent="0.25">
      <c r="A200" s="47" t="s">
        <v>326</v>
      </c>
      <c r="B200" s="47" t="s">
        <v>102</v>
      </c>
      <c r="C200" s="63" t="s">
        <v>51</v>
      </c>
      <c r="D200" s="22" t="s">
        <v>98</v>
      </c>
      <c r="E200" s="62" t="s">
        <v>3</v>
      </c>
      <c r="F200" s="2" t="s">
        <v>33</v>
      </c>
      <c r="G200" s="2" t="s">
        <v>616</v>
      </c>
      <c r="H200" s="2" t="s">
        <v>103</v>
      </c>
      <c r="I200" s="44">
        <v>9</v>
      </c>
      <c r="J200" s="2" t="s">
        <v>287</v>
      </c>
      <c r="K200" s="5">
        <v>2000000</v>
      </c>
      <c r="L200" s="5">
        <v>164643130</v>
      </c>
      <c r="M200" s="5">
        <v>3001301024</v>
      </c>
      <c r="N200" s="13">
        <v>3.8E-3</v>
      </c>
      <c r="O200" s="5">
        <v>10779300</v>
      </c>
      <c r="P200" s="5">
        <v>1203909</v>
      </c>
      <c r="Q200" s="9">
        <v>0.18554080506155321</v>
      </c>
      <c r="R200" s="2">
        <v>1.65</v>
      </c>
      <c r="S200" s="5">
        <v>1212121.2121212119</v>
      </c>
      <c r="T200" s="5">
        <v>0</v>
      </c>
      <c r="U200" s="5">
        <v>0</v>
      </c>
      <c r="V200" s="5">
        <v>500000</v>
      </c>
      <c r="W200" s="5">
        <v>1500000</v>
      </c>
      <c r="X200" s="5">
        <v>0</v>
      </c>
      <c r="Y200" s="5">
        <v>0</v>
      </c>
      <c r="Z200" s="10">
        <v>0</v>
      </c>
      <c r="AA200" s="10">
        <v>0</v>
      </c>
      <c r="AB200" s="10">
        <v>0</v>
      </c>
      <c r="AC200" s="10">
        <v>0</v>
      </c>
      <c r="AD200" s="11">
        <v>0</v>
      </c>
      <c r="AE200" s="28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1"/>
    </row>
    <row r="201" spans="1:50" x14ac:dyDescent="0.25">
      <c r="A201" s="47" t="s">
        <v>327</v>
      </c>
      <c r="B201" s="47" t="s">
        <v>328</v>
      </c>
      <c r="C201" s="63" t="s">
        <v>51</v>
      </c>
      <c r="D201" s="22" t="s">
        <v>98</v>
      </c>
      <c r="E201" s="64" t="s">
        <v>534</v>
      </c>
      <c r="F201" s="2" t="s">
        <v>41</v>
      </c>
      <c r="G201" s="2" t="s">
        <v>616</v>
      </c>
      <c r="H201" s="2" t="s">
        <v>103</v>
      </c>
      <c r="I201" s="44">
        <v>9</v>
      </c>
      <c r="J201" s="2" t="s">
        <v>287</v>
      </c>
      <c r="K201" s="5">
        <v>500000</v>
      </c>
      <c r="L201" s="5">
        <v>164643130</v>
      </c>
      <c r="M201" s="5">
        <v>3001301024</v>
      </c>
      <c r="N201" s="13">
        <v>9.5E-4</v>
      </c>
      <c r="O201" s="5">
        <v>2694825</v>
      </c>
      <c r="P201" s="5">
        <v>300977</v>
      </c>
      <c r="Q201" s="9">
        <v>0.18554080506155321</v>
      </c>
      <c r="R201" s="2">
        <v>1.65</v>
      </c>
      <c r="S201" s="5">
        <v>303030.30303030298</v>
      </c>
      <c r="T201" s="5">
        <v>0</v>
      </c>
      <c r="U201" s="14">
        <v>0</v>
      </c>
      <c r="V201" s="5">
        <v>0</v>
      </c>
      <c r="W201" s="5">
        <v>0</v>
      </c>
      <c r="X201" s="5">
        <v>0</v>
      </c>
      <c r="Y201" s="5">
        <v>0</v>
      </c>
      <c r="Z201" s="10">
        <v>0</v>
      </c>
      <c r="AA201" s="10">
        <v>0</v>
      </c>
      <c r="AB201" s="10">
        <v>500000</v>
      </c>
      <c r="AC201" s="10">
        <v>0</v>
      </c>
      <c r="AD201" s="11">
        <v>0</v>
      </c>
      <c r="AE201" s="28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1"/>
    </row>
    <row r="202" spans="1:50" x14ac:dyDescent="0.25">
      <c r="A202" s="47" t="s">
        <v>329</v>
      </c>
      <c r="B202" s="47" t="s">
        <v>330</v>
      </c>
      <c r="C202" s="63" t="s">
        <v>31</v>
      </c>
      <c r="D202" s="22" t="s">
        <v>32</v>
      </c>
      <c r="E202" s="62" t="s">
        <v>3</v>
      </c>
      <c r="F202" s="2" t="s">
        <v>33</v>
      </c>
      <c r="G202" s="31" t="s">
        <v>34</v>
      </c>
      <c r="H202" s="2" t="s">
        <v>35</v>
      </c>
      <c r="I202" s="44">
        <v>8</v>
      </c>
      <c r="J202" s="2" t="s">
        <v>331</v>
      </c>
      <c r="K202" s="5">
        <v>930327</v>
      </c>
      <c r="L202" s="5">
        <v>11885090</v>
      </c>
      <c r="M202" s="5">
        <v>42510172</v>
      </c>
      <c r="N202" s="13">
        <v>0.29830000000000001</v>
      </c>
      <c r="O202" s="5">
        <v>9135462</v>
      </c>
      <c r="P202" s="5"/>
      <c r="Q202" s="9">
        <v>0.1018368857535612</v>
      </c>
      <c r="R202" s="2">
        <v>1.35</v>
      </c>
      <c r="S202" s="5">
        <v>689131.11111111101</v>
      </c>
      <c r="T202" s="5">
        <v>930327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10">
        <v>0</v>
      </c>
      <c r="AA202" s="10">
        <v>0</v>
      </c>
      <c r="AB202" s="10">
        <v>0</v>
      </c>
      <c r="AC202" s="10">
        <v>0</v>
      </c>
      <c r="AD202" s="11">
        <v>0</v>
      </c>
      <c r="AE202" s="28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1"/>
    </row>
    <row r="203" spans="1:50" x14ac:dyDescent="0.25">
      <c r="A203" s="47" t="s">
        <v>332</v>
      </c>
      <c r="B203" s="47" t="s">
        <v>333</v>
      </c>
      <c r="C203" s="63" t="s">
        <v>31</v>
      </c>
      <c r="D203" s="22" t="s">
        <v>32</v>
      </c>
      <c r="E203" s="62" t="s">
        <v>3</v>
      </c>
      <c r="F203" s="2" t="s">
        <v>33</v>
      </c>
      <c r="G203" s="31" t="s">
        <v>34</v>
      </c>
      <c r="H203" s="2" t="s">
        <v>35</v>
      </c>
      <c r="I203" s="44">
        <v>8</v>
      </c>
      <c r="J203" s="2" t="s">
        <v>331</v>
      </c>
      <c r="K203" s="5">
        <v>647162</v>
      </c>
      <c r="L203" s="5">
        <v>8421350</v>
      </c>
      <c r="M203" s="5">
        <v>24309457</v>
      </c>
      <c r="N203" s="13">
        <v>0.27100000000000002</v>
      </c>
      <c r="O203" s="5">
        <v>4305677</v>
      </c>
      <c r="P203" s="5">
        <v>300413</v>
      </c>
      <c r="Q203" s="9">
        <v>0.15030435399589889</v>
      </c>
      <c r="R203" s="2">
        <v>1.35</v>
      </c>
      <c r="S203" s="5">
        <v>479379.25925925921</v>
      </c>
      <c r="T203" s="5">
        <v>647162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10">
        <v>0</v>
      </c>
      <c r="AA203" s="10">
        <v>0</v>
      </c>
      <c r="AB203" s="10">
        <v>0</v>
      </c>
      <c r="AC203" s="10">
        <v>0</v>
      </c>
      <c r="AD203" s="11">
        <v>0</v>
      </c>
      <c r="AE203" s="28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1"/>
    </row>
    <row r="204" spans="1:50" x14ac:dyDescent="0.25">
      <c r="A204" s="47" t="s">
        <v>334</v>
      </c>
      <c r="B204" s="47" t="s">
        <v>44</v>
      </c>
      <c r="C204" s="2" t="s">
        <v>31</v>
      </c>
      <c r="D204" s="22" t="s">
        <v>44</v>
      </c>
      <c r="E204" s="62" t="s">
        <v>3</v>
      </c>
      <c r="F204" s="2" t="s">
        <v>33</v>
      </c>
      <c r="G204" s="31" t="s">
        <v>34</v>
      </c>
      <c r="H204" s="2" t="s">
        <v>35</v>
      </c>
      <c r="I204" s="44">
        <v>8</v>
      </c>
      <c r="J204" s="2" t="s">
        <v>331</v>
      </c>
      <c r="K204" s="5">
        <v>2037216</v>
      </c>
      <c r="L204" s="5">
        <v>20783000</v>
      </c>
      <c r="M204" s="5">
        <v>60783000</v>
      </c>
      <c r="N204" s="13">
        <v>0.375</v>
      </c>
      <c r="O204" s="5">
        <v>15000000</v>
      </c>
      <c r="P204" s="5">
        <v>14535968.625</v>
      </c>
      <c r="Q204" s="9">
        <v>0.1358144</v>
      </c>
      <c r="R204" s="2">
        <v>1.35</v>
      </c>
      <c r="S204" s="5">
        <v>1509048.888888889</v>
      </c>
      <c r="T204" s="5">
        <v>629069</v>
      </c>
      <c r="U204" s="5">
        <v>1408147</v>
      </c>
      <c r="V204" s="5">
        <v>0</v>
      </c>
      <c r="W204" s="5">
        <v>0</v>
      </c>
      <c r="X204" s="5">
        <v>0</v>
      </c>
      <c r="Y204" s="5">
        <v>0</v>
      </c>
      <c r="Z204" s="10">
        <v>0</v>
      </c>
      <c r="AA204" s="10">
        <v>0</v>
      </c>
      <c r="AB204" s="10">
        <v>0</v>
      </c>
      <c r="AC204" s="10">
        <v>0</v>
      </c>
      <c r="AD204" s="11">
        <v>0</v>
      </c>
      <c r="AE204" s="28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1"/>
    </row>
    <row r="205" spans="1:50" x14ac:dyDescent="0.25">
      <c r="A205" s="47" t="s">
        <v>335</v>
      </c>
      <c r="B205" s="47" t="s">
        <v>185</v>
      </c>
      <c r="C205" s="63" t="s">
        <v>31</v>
      </c>
      <c r="D205" s="22" t="s">
        <v>185</v>
      </c>
      <c r="E205" s="62" t="s">
        <v>3</v>
      </c>
      <c r="F205" s="2" t="s">
        <v>33</v>
      </c>
      <c r="G205" s="31" t="s">
        <v>34</v>
      </c>
      <c r="H205" s="2" t="s">
        <v>35</v>
      </c>
      <c r="I205" s="44">
        <v>8</v>
      </c>
      <c r="J205" s="2" t="s">
        <v>331</v>
      </c>
      <c r="K205" s="5">
        <v>3375681</v>
      </c>
      <c r="L205" s="5">
        <v>21784000</v>
      </c>
      <c r="M205" s="5">
        <v>60139324</v>
      </c>
      <c r="N205" s="13">
        <v>0.65180000000000005</v>
      </c>
      <c r="O205" s="5">
        <v>25000000</v>
      </c>
      <c r="P205" s="5"/>
      <c r="Q205" s="9">
        <v>0.13502723999999999</v>
      </c>
      <c r="R205" s="2">
        <v>1.35</v>
      </c>
      <c r="S205" s="5">
        <v>2500504.444444444</v>
      </c>
      <c r="T205" s="5">
        <v>3375681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10">
        <v>0</v>
      </c>
      <c r="AA205" s="10">
        <v>0</v>
      </c>
      <c r="AB205" s="10">
        <v>0</v>
      </c>
      <c r="AC205" s="10">
        <v>0</v>
      </c>
      <c r="AD205" s="11">
        <v>0</v>
      </c>
      <c r="AE205" s="28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1"/>
    </row>
    <row r="206" spans="1:50" x14ac:dyDescent="0.25">
      <c r="A206" s="47" t="s">
        <v>336</v>
      </c>
      <c r="B206" s="47" t="s">
        <v>337</v>
      </c>
      <c r="C206" s="63" t="s">
        <v>31</v>
      </c>
      <c r="D206" s="22" t="s">
        <v>40</v>
      </c>
      <c r="E206" s="64" t="s">
        <v>534</v>
      </c>
      <c r="F206" s="2" t="s">
        <v>41</v>
      </c>
      <c r="G206" s="31" t="s">
        <v>34</v>
      </c>
      <c r="H206" s="2" t="s">
        <v>35</v>
      </c>
      <c r="I206" s="44">
        <v>8</v>
      </c>
      <c r="J206" s="2" t="s">
        <v>331</v>
      </c>
      <c r="K206" s="5">
        <v>600000</v>
      </c>
      <c r="L206" s="5">
        <v>25327000</v>
      </c>
      <c r="M206" s="5">
        <v>62787000</v>
      </c>
      <c r="N206" s="13">
        <v>8.0600000000000005E-2</v>
      </c>
      <c r="O206" s="5">
        <v>3018474</v>
      </c>
      <c r="P206" s="5">
        <v>1189649</v>
      </c>
      <c r="Q206" s="9">
        <v>0.19877593777518041</v>
      </c>
      <c r="R206" s="2">
        <v>1.35</v>
      </c>
      <c r="S206" s="5">
        <v>444444.44444444438</v>
      </c>
      <c r="T206" s="5">
        <v>0</v>
      </c>
      <c r="U206" s="5">
        <v>200000</v>
      </c>
      <c r="V206" s="5">
        <v>0</v>
      </c>
      <c r="W206" s="5">
        <v>0</v>
      </c>
      <c r="X206" s="5">
        <v>400000</v>
      </c>
      <c r="Y206" s="5">
        <v>0</v>
      </c>
      <c r="Z206" s="10">
        <v>0</v>
      </c>
      <c r="AA206" s="10">
        <v>0</v>
      </c>
      <c r="AB206" s="10">
        <v>0</v>
      </c>
      <c r="AC206" s="10">
        <v>0</v>
      </c>
      <c r="AD206" s="11">
        <v>0</v>
      </c>
      <c r="AE206" s="28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1"/>
    </row>
    <row r="207" spans="1:50" x14ac:dyDescent="0.25">
      <c r="A207" s="47" t="s">
        <v>338</v>
      </c>
      <c r="B207" s="47" t="s">
        <v>339</v>
      </c>
      <c r="C207" s="2" t="s">
        <v>31</v>
      </c>
      <c r="D207" s="22" t="s">
        <v>44</v>
      </c>
      <c r="E207" s="64" t="s">
        <v>534</v>
      </c>
      <c r="F207" s="2" t="s">
        <v>41</v>
      </c>
      <c r="G207" s="31" t="s">
        <v>34</v>
      </c>
      <c r="H207" s="2" t="s">
        <v>35</v>
      </c>
      <c r="I207" s="44">
        <v>8</v>
      </c>
      <c r="J207" s="2" t="s">
        <v>331</v>
      </c>
      <c r="K207" s="5">
        <v>1000000</v>
      </c>
      <c r="L207" s="5">
        <v>20783000</v>
      </c>
      <c r="M207" s="5">
        <v>60783000</v>
      </c>
      <c r="N207" s="13">
        <v>0.18410000000000001</v>
      </c>
      <c r="O207" s="5">
        <v>7362989</v>
      </c>
      <c r="P207" s="5">
        <v>7136191.5303000007</v>
      </c>
      <c r="Q207" s="9">
        <v>0.13581440906675271</v>
      </c>
      <c r="R207" s="2">
        <v>1.35</v>
      </c>
      <c r="S207" s="5">
        <v>740740.74074074067</v>
      </c>
      <c r="T207" s="5">
        <v>0</v>
      </c>
      <c r="U207" s="5">
        <v>400000</v>
      </c>
      <c r="V207" s="5">
        <v>0</v>
      </c>
      <c r="W207" s="5">
        <v>0</v>
      </c>
      <c r="X207" s="5">
        <v>600000</v>
      </c>
      <c r="Y207" s="5">
        <v>0</v>
      </c>
      <c r="Z207" s="10">
        <v>0</v>
      </c>
      <c r="AA207" s="10">
        <v>0</v>
      </c>
      <c r="AB207" s="10">
        <v>0</v>
      </c>
      <c r="AC207" s="10">
        <v>0</v>
      </c>
      <c r="AD207" s="11">
        <v>0</v>
      </c>
      <c r="AE207" s="28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1"/>
    </row>
    <row r="208" spans="1:50" x14ac:dyDescent="0.25">
      <c r="A208" s="47" t="s">
        <v>340</v>
      </c>
      <c r="B208" s="47" t="s">
        <v>341</v>
      </c>
      <c r="C208" s="63" t="s">
        <v>31</v>
      </c>
      <c r="D208" s="22" t="s">
        <v>185</v>
      </c>
      <c r="E208" s="64" t="s">
        <v>534</v>
      </c>
      <c r="F208" s="2" t="s">
        <v>41</v>
      </c>
      <c r="G208" s="31" t="s">
        <v>34</v>
      </c>
      <c r="H208" s="2" t="s">
        <v>35</v>
      </c>
      <c r="I208" s="44">
        <v>8</v>
      </c>
      <c r="J208" s="2" t="s">
        <v>331</v>
      </c>
      <c r="K208" s="5">
        <v>1499842</v>
      </c>
      <c r="L208" s="5">
        <v>21784000</v>
      </c>
      <c r="M208" s="5">
        <v>60139324</v>
      </c>
      <c r="N208" s="13">
        <v>0.28960000000000002</v>
      </c>
      <c r="O208" s="5">
        <v>11107700</v>
      </c>
      <c r="P208" s="5"/>
      <c r="Q208" s="9">
        <v>0.13502723336064171</v>
      </c>
      <c r="R208" s="2">
        <v>1.35</v>
      </c>
      <c r="S208" s="5">
        <v>1110994.0740740739</v>
      </c>
      <c r="T208" s="5">
        <v>0</v>
      </c>
      <c r="U208" s="5">
        <v>1499842</v>
      </c>
      <c r="V208" s="5">
        <v>0</v>
      </c>
      <c r="W208" s="5">
        <v>0</v>
      </c>
      <c r="X208" s="5">
        <v>0</v>
      </c>
      <c r="Y208" s="5">
        <v>0</v>
      </c>
      <c r="Z208" s="10">
        <v>0</v>
      </c>
      <c r="AA208" s="10">
        <v>0</v>
      </c>
      <c r="AB208" s="10">
        <v>0</v>
      </c>
      <c r="AC208" s="10">
        <v>0</v>
      </c>
      <c r="AD208" s="11">
        <v>0</v>
      </c>
      <c r="AE208" s="28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1"/>
    </row>
    <row r="209" spans="1:50" x14ac:dyDescent="0.25">
      <c r="A209" s="47" t="s">
        <v>342</v>
      </c>
      <c r="B209" s="47" t="s">
        <v>209</v>
      </c>
      <c r="C209" s="2" t="s">
        <v>31</v>
      </c>
      <c r="D209" s="22" t="s">
        <v>47</v>
      </c>
      <c r="E209" s="62" t="s">
        <v>3</v>
      </c>
      <c r="F209" s="2" t="s">
        <v>33</v>
      </c>
      <c r="G209" s="31" t="s">
        <v>34</v>
      </c>
      <c r="H209" s="2" t="s">
        <v>35</v>
      </c>
      <c r="I209" s="44">
        <v>8</v>
      </c>
      <c r="J209" s="2" t="s">
        <v>331</v>
      </c>
      <c r="K209" s="5">
        <v>749796</v>
      </c>
      <c r="L209" s="5">
        <v>11346150</v>
      </c>
      <c r="M209" s="5">
        <v>21029520</v>
      </c>
      <c r="N209" s="13">
        <v>0.31830000000000003</v>
      </c>
      <c r="O209" s="5">
        <v>3082217</v>
      </c>
      <c r="P209" s="5">
        <v>1715131</v>
      </c>
      <c r="Q209" s="9">
        <v>0.2432651562170996</v>
      </c>
      <c r="R209" s="2">
        <v>1.35</v>
      </c>
      <c r="S209" s="5">
        <v>555404.44444444438</v>
      </c>
      <c r="T209" s="5">
        <v>374796</v>
      </c>
      <c r="U209" s="5">
        <v>0</v>
      </c>
      <c r="V209" s="5">
        <v>375000</v>
      </c>
      <c r="W209" s="5">
        <v>0</v>
      </c>
      <c r="X209" s="5">
        <v>0</v>
      </c>
      <c r="Y209" s="5">
        <v>0</v>
      </c>
      <c r="Z209" s="10">
        <v>0</v>
      </c>
      <c r="AA209" s="10">
        <v>0</v>
      </c>
      <c r="AB209" s="10">
        <v>0</v>
      </c>
      <c r="AC209" s="10">
        <v>0</v>
      </c>
      <c r="AD209" s="11">
        <v>0</v>
      </c>
      <c r="AE209" s="28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1"/>
    </row>
    <row r="210" spans="1:50" x14ac:dyDescent="0.25">
      <c r="A210" s="47" t="s">
        <v>343</v>
      </c>
      <c r="B210" s="47" t="s">
        <v>295</v>
      </c>
      <c r="C210" s="2" t="s">
        <v>31</v>
      </c>
      <c r="D210" s="22" t="s">
        <v>47</v>
      </c>
      <c r="E210" s="62" t="s">
        <v>3</v>
      </c>
      <c r="F210" s="2" t="s">
        <v>33</v>
      </c>
      <c r="G210" s="31" t="s">
        <v>48</v>
      </c>
      <c r="H210" s="2" t="s">
        <v>35</v>
      </c>
      <c r="I210" s="44">
        <v>8</v>
      </c>
      <c r="J210" s="2" t="s">
        <v>331</v>
      </c>
      <c r="K210" s="5">
        <v>749869</v>
      </c>
      <c r="L210" s="5">
        <v>12911640</v>
      </c>
      <c r="M210" s="5">
        <v>35873753</v>
      </c>
      <c r="N210" s="13">
        <v>0.17419999999999999</v>
      </c>
      <c r="O210" s="5">
        <v>4000000</v>
      </c>
      <c r="P210" s="5"/>
      <c r="Q210" s="9">
        <v>0.18746725</v>
      </c>
      <c r="R210" s="2">
        <v>1.35</v>
      </c>
      <c r="S210" s="5">
        <v>555458.51851851854</v>
      </c>
      <c r="T210" s="5">
        <v>374869</v>
      </c>
      <c r="U210" s="5">
        <v>0</v>
      </c>
      <c r="V210" s="5">
        <v>375000</v>
      </c>
      <c r="W210" s="5">
        <v>0</v>
      </c>
      <c r="X210" s="5">
        <v>0</v>
      </c>
      <c r="Y210" s="5">
        <v>0</v>
      </c>
      <c r="Z210" s="10">
        <v>0</v>
      </c>
      <c r="AA210" s="10">
        <v>0</v>
      </c>
      <c r="AB210" s="10">
        <v>0</v>
      </c>
      <c r="AC210" s="10">
        <v>0</v>
      </c>
      <c r="AD210" s="11">
        <v>0</v>
      </c>
      <c r="AE210" s="28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1"/>
    </row>
    <row r="211" spans="1:50" x14ac:dyDescent="0.25">
      <c r="A211" s="47" t="s">
        <v>344</v>
      </c>
      <c r="B211" s="47" t="s">
        <v>300</v>
      </c>
      <c r="C211" s="2" t="s">
        <v>31</v>
      </c>
      <c r="D211" s="22" t="s">
        <v>47</v>
      </c>
      <c r="E211" s="64" t="s">
        <v>534</v>
      </c>
      <c r="F211" s="2" t="s">
        <v>41</v>
      </c>
      <c r="G211" s="31" t="s">
        <v>34</v>
      </c>
      <c r="H211" s="2" t="s">
        <v>35</v>
      </c>
      <c r="I211" s="44">
        <v>8</v>
      </c>
      <c r="J211" s="2" t="s">
        <v>331</v>
      </c>
      <c r="K211" s="5">
        <v>500000</v>
      </c>
      <c r="L211" s="5">
        <f>L209</f>
        <v>11346150</v>
      </c>
      <c r="M211" s="5">
        <f>M209</f>
        <v>21029520</v>
      </c>
      <c r="N211" s="13">
        <v>0.21229999999999999</v>
      </c>
      <c r="O211" s="5">
        <v>2055370</v>
      </c>
      <c r="P211" s="5">
        <v>1143823</v>
      </c>
      <c r="Q211" s="9">
        <v>0.2432652028588527</v>
      </c>
      <c r="R211" s="2">
        <v>1.35</v>
      </c>
      <c r="S211" s="5">
        <v>370370.37037037028</v>
      </c>
      <c r="T211" s="5">
        <v>0</v>
      </c>
      <c r="U211" s="5">
        <v>500000</v>
      </c>
      <c r="V211" s="5">
        <v>0</v>
      </c>
      <c r="W211" s="5">
        <v>0</v>
      </c>
      <c r="X211" s="5">
        <v>0</v>
      </c>
      <c r="Y211" s="5">
        <v>0</v>
      </c>
      <c r="Z211" s="10">
        <v>0</v>
      </c>
      <c r="AA211" s="10">
        <v>0</v>
      </c>
      <c r="AB211" s="10">
        <v>0</v>
      </c>
      <c r="AC211" s="10">
        <v>0</v>
      </c>
      <c r="AD211" s="11">
        <v>0</v>
      </c>
      <c r="AE211" s="28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1"/>
    </row>
    <row r="212" spans="1:50" x14ac:dyDescent="0.25">
      <c r="A212" s="47" t="s">
        <v>345</v>
      </c>
      <c r="B212" s="47" t="s">
        <v>298</v>
      </c>
      <c r="C212" s="2" t="s">
        <v>31</v>
      </c>
      <c r="D212" s="22" t="s">
        <v>47</v>
      </c>
      <c r="E212" s="64" t="s">
        <v>534</v>
      </c>
      <c r="F212" s="2" t="s">
        <v>41</v>
      </c>
      <c r="G212" s="31" t="s">
        <v>48</v>
      </c>
      <c r="H212" s="2" t="s">
        <v>35</v>
      </c>
      <c r="I212" s="44">
        <v>8</v>
      </c>
      <c r="J212" s="2" t="s">
        <v>331</v>
      </c>
      <c r="K212" s="5">
        <v>500000</v>
      </c>
      <c r="L212" s="5">
        <f>L210</f>
        <v>12911640</v>
      </c>
      <c r="M212" s="5">
        <f>M210</f>
        <v>35873753</v>
      </c>
      <c r="N212" s="13">
        <v>0.1162</v>
      </c>
      <c r="O212" s="5">
        <v>2667133</v>
      </c>
      <c r="P212" s="5"/>
      <c r="Q212" s="9">
        <v>0.18746721667048469</v>
      </c>
      <c r="R212" s="2">
        <v>1.35</v>
      </c>
      <c r="S212" s="5">
        <v>370370.37037037028</v>
      </c>
      <c r="T212" s="5">
        <v>0</v>
      </c>
      <c r="U212" s="5">
        <v>500000</v>
      </c>
      <c r="V212" s="5">
        <v>0</v>
      </c>
      <c r="W212" s="5">
        <v>0</v>
      </c>
      <c r="X212" s="5">
        <v>0</v>
      </c>
      <c r="Y212" s="5">
        <v>0</v>
      </c>
      <c r="Z212" s="10">
        <v>0</v>
      </c>
      <c r="AA212" s="10">
        <v>0</v>
      </c>
      <c r="AB212" s="10">
        <v>0</v>
      </c>
      <c r="AC212" s="10">
        <v>0</v>
      </c>
      <c r="AD212" s="11">
        <v>0</v>
      </c>
      <c r="AE212" s="28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1"/>
    </row>
    <row r="213" spans="1:50" x14ac:dyDescent="0.25">
      <c r="A213" s="47" t="s">
        <v>346</v>
      </c>
      <c r="B213" s="47" t="s">
        <v>218</v>
      </c>
      <c r="C213" s="2" t="s">
        <v>31</v>
      </c>
      <c r="D213" s="22" t="s">
        <v>218</v>
      </c>
      <c r="E213" s="62" t="s">
        <v>3</v>
      </c>
      <c r="F213" s="2" t="s">
        <v>33</v>
      </c>
      <c r="G213" s="31" t="s">
        <v>34</v>
      </c>
      <c r="H213" s="2" t="s">
        <v>35</v>
      </c>
      <c r="I213" s="44">
        <v>8</v>
      </c>
      <c r="J213" s="2" t="s">
        <v>331</v>
      </c>
      <c r="K213" s="5">
        <v>1396940</v>
      </c>
      <c r="L213" s="5">
        <v>70988570</v>
      </c>
      <c r="M213" s="5">
        <v>225855827</v>
      </c>
      <c r="N213" s="13">
        <v>4.5199999999999997E-2</v>
      </c>
      <c r="O213" s="5">
        <v>7000000</v>
      </c>
      <c r="P213" s="5">
        <v>2148025</v>
      </c>
      <c r="Q213" s="9">
        <v>0.19956285714285721</v>
      </c>
      <c r="R213" s="2">
        <v>1.35</v>
      </c>
      <c r="S213" s="5">
        <v>1034770.37037037</v>
      </c>
      <c r="T213" s="5">
        <v>0</v>
      </c>
      <c r="U213" s="5">
        <v>0</v>
      </c>
      <c r="V213" s="5">
        <v>1396940</v>
      </c>
      <c r="W213" s="5">
        <v>0</v>
      </c>
      <c r="X213" s="5">
        <v>0</v>
      </c>
      <c r="Y213" s="5">
        <v>0</v>
      </c>
      <c r="Z213" s="10">
        <v>0</v>
      </c>
      <c r="AA213" s="10">
        <v>0</v>
      </c>
      <c r="AB213" s="10">
        <v>0</v>
      </c>
      <c r="AC213" s="10">
        <v>0</v>
      </c>
      <c r="AD213" s="11">
        <v>0</v>
      </c>
      <c r="AE213" s="28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1"/>
    </row>
    <row r="214" spans="1:50" x14ac:dyDescent="0.25">
      <c r="A214" s="47" t="s">
        <v>347</v>
      </c>
      <c r="B214" s="47" t="s">
        <v>191</v>
      </c>
      <c r="C214" s="2" t="s">
        <v>31</v>
      </c>
      <c r="D214" s="22" t="s">
        <v>55</v>
      </c>
      <c r="E214" s="62" t="s">
        <v>3</v>
      </c>
      <c r="F214" s="2" t="s">
        <v>33</v>
      </c>
      <c r="G214" s="31" t="s">
        <v>34</v>
      </c>
      <c r="H214" s="2" t="s">
        <v>35</v>
      </c>
      <c r="I214" s="44">
        <v>8</v>
      </c>
      <c r="J214" s="2" t="s">
        <v>331</v>
      </c>
      <c r="K214" s="5">
        <v>480000</v>
      </c>
      <c r="L214" s="5">
        <v>13723999</v>
      </c>
      <c r="M214" s="5">
        <v>30254132</v>
      </c>
      <c r="N214" s="13">
        <v>0.15</v>
      </c>
      <c r="O214" s="5">
        <v>2479520</v>
      </c>
      <c r="P214" s="5"/>
      <c r="Q214" s="9">
        <v>0.19358585532683739</v>
      </c>
      <c r="R214" s="2">
        <v>1.35</v>
      </c>
      <c r="S214" s="5">
        <v>355555.5555555555</v>
      </c>
      <c r="T214" s="5">
        <v>199135</v>
      </c>
      <c r="U214" s="5">
        <v>80865</v>
      </c>
      <c r="V214" s="5">
        <v>200000</v>
      </c>
      <c r="W214" s="5">
        <v>0</v>
      </c>
      <c r="X214" s="5">
        <v>0</v>
      </c>
      <c r="Y214" s="5">
        <v>0</v>
      </c>
      <c r="Z214" s="10">
        <v>0</v>
      </c>
      <c r="AA214" s="10">
        <v>0</v>
      </c>
      <c r="AB214" s="10">
        <v>0</v>
      </c>
      <c r="AC214" s="10">
        <v>0</v>
      </c>
      <c r="AD214" s="11">
        <v>0</v>
      </c>
      <c r="AE214" s="28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1"/>
    </row>
    <row r="215" spans="1:50" x14ac:dyDescent="0.25">
      <c r="A215" s="47" t="s">
        <v>348</v>
      </c>
      <c r="B215" s="47" t="s">
        <v>193</v>
      </c>
      <c r="C215" s="2" t="s">
        <v>31</v>
      </c>
      <c r="D215" s="22" t="s">
        <v>55</v>
      </c>
      <c r="E215" s="64" t="s">
        <v>534</v>
      </c>
      <c r="F215" s="2" t="s">
        <v>41</v>
      </c>
      <c r="G215" s="31" t="s">
        <v>34</v>
      </c>
      <c r="H215" s="2" t="s">
        <v>35</v>
      </c>
      <c r="I215" s="44">
        <v>8</v>
      </c>
      <c r="J215" s="2" t="s">
        <v>331</v>
      </c>
      <c r="K215" s="5">
        <v>400000</v>
      </c>
      <c r="L215" s="5">
        <v>13723999</v>
      </c>
      <c r="M215" s="5">
        <v>30254132</v>
      </c>
      <c r="N215" s="13">
        <v>0.125</v>
      </c>
      <c r="O215" s="5">
        <v>2066267</v>
      </c>
      <c r="P215" s="5"/>
      <c r="Q215" s="9">
        <v>0.19358582409727301</v>
      </c>
      <c r="R215" s="2">
        <v>1.35</v>
      </c>
      <c r="S215" s="5">
        <v>296296.29629629629</v>
      </c>
      <c r="T215" s="5">
        <v>0</v>
      </c>
      <c r="U215" s="5">
        <v>400000</v>
      </c>
      <c r="V215" s="5">
        <v>0</v>
      </c>
      <c r="W215" s="5">
        <v>0</v>
      </c>
      <c r="X215" s="5">
        <v>0</v>
      </c>
      <c r="Y215" s="5">
        <v>0</v>
      </c>
      <c r="Z215" s="10">
        <v>0</v>
      </c>
      <c r="AA215" s="10">
        <v>0</v>
      </c>
      <c r="AB215" s="10">
        <v>0</v>
      </c>
      <c r="AC215" s="10">
        <v>0</v>
      </c>
      <c r="AD215" s="11">
        <v>0</v>
      </c>
      <c r="AE215" s="28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1"/>
    </row>
    <row r="216" spans="1:50" x14ac:dyDescent="0.25">
      <c r="A216" s="47" t="s">
        <v>349</v>
      </c>
      <c r="B216" s="47" t="s">
        <v>64</v>
      </c>
      <c r="C216" s="63" t="s">
        <v>31</v>
      </c>
      <c r="D216" s="22" t="s">
        <v>65</v>
      </c>
      <c r="E216" s="62" t="s">
        <v>3</v>
      </c>
      <c r="F216" s="2" t="s">
        <v>33</v>
      </c>
      <c r="G216" s="31" t="s">
        <v>34</v>
      </c>
      <c r="H216" s="2" t="s">
        <v>35</v>
      </c>
      <c r="I216" s="44">
        <v>8</v>
      </c>
      <c r="J216" s="2" t="s">
        <v>331</v>
      </c>
      <c r="K216" s="5">
        <v>497323</v>
      </c>
      <c r="L216" s="5">
        <v>4562415</v>
      </c>
      <c r="M216" s="5">
        <v>19562415</v>
      </c>
      <c r="N216" s="13">
        <v>0.2</v>
      </c>
      <c r="O216" s="5">
        <v>3000000</v>
      </c>
      <c r="P216" s="5"/>
      <c r="Q216" s="9">
        <v>0.1657743333333333</v>
      </c>
      <c r="R216" s="2">
        <v>1.35</v>
      </c>
      <c r="S216" s="5">
        <v>368387.40740740742</v>
      </c>
      <c r="T216" s="5">
        <v>289798</v>
      </c>
      <c r="U216" s="5">
        <v>207525</v>
      </c>
      <c r="V216" s="5">
        <v>0</v>
      </c>
      <c r="W216" s="5">
        <v>0</v>
      </c>
      <c r="X216" s="5">
        <v>0</v>
      </c>
      <c r="Y216" s="5">
        <v>0</v>
      </c>
      <c r="Z216" s="10">
        <v>0</v>
      </c>
      <c r="AA216" s="10">
        <v>0</v>
      </c>
      <c r="AB216" s="10">
        <v>0</v>
      </c>
      <c r="AC216" s="10">
        <v>0</v>
      </c>
      <c r="AD216" s="11">
        <v>0</v>
      </c>
      <c r="AE216" s="28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1"/>
    </row>
    <row r="217" spans="1:50" x14ac:dyDescent="0.25">
      <c r="A217" s="47" t="s">
        <v>350</v>
      </c>
      <c r="B217" s="47" t="s">
        <v>67</v>
      </c>
      <c r="C217" s="63" t="s">
        <v>31</v>
      </c>
      <c r="D217" s="22" t="s">
        <v>65</v>
      </c>
      <c r="E217" s="62" t="s">
        <v>3</v>
      </c>
      <c r="F217" s="2" t="s">
        <v>33</v>
      </c>
      <c r="G217" s="31" t="s">
        <v>34</v>
      </c>
      <c r="H217" s="2" t="s">
        <v>35</v>
      </c>
      <c r="I217" s="44">
        <v>8</v>
      </c>
      <c r="J217" s="2" t="s">
        <v>331</v>
      </c>
      <c r="K217" s="5">
        <v>497302</v>
      </c>
      <c r="L217" s="5">
        <v>15461010</v>
      </c>
      <c r="M217" s="5">
        <v>32127677</v>
      </c>
      <c r="N217" s="13">
        <v>0.15</v>
      </c>
      <c r="O217" s="5">
        <v>2500000</v>
      </c>
      <c r="P217" s="5"/>
      <c r="Q217" s="9">
        <v>0.19892080000000001</v>
      </c>
      <c r="R217" s="2">
        <v>1.35</v>
      </c>
      <c r="S217" s="5">
        <v>368371.85185185191</v>
      </c>
      <c r="T217" s="5">
        <v>289777</v>
      </c>
      <c r="U217" s="5">
        <v>207525</v>
      </c>
      <c r="V217" s="5">
        <v>0</v>
      </c>
      <c r="W217" s="5">
        <v>0</v>
      </c>
      <c r="X217" s="5">
        <v>0</v>
      </c>
      <c r="Y217" s="5">
        <v>0</v>
      </c>
      <c r="Z217" s="10">
        <v>0</v>
      </c>
      <c r="AA217" s="10">
        <v>0</v>
      </c>
      <c r="AB217" s="10">
        <v>0</v>
      </c>
      <c r="AC217" s="10">
        <v>0</v>
      </c>
      <c r="AD217" s="11">
        <v>0</v>
      </c>
      <c r="AE217" s="28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1"/>
    </row>
    <row r="218" spans="1:50" x14ac:dyDescent="0.25">
      <c r="A218" s="47" t="s">
        <v>351</v>
      </c>
      <c r="B218" s="47" t="s">
        <v>352</v>
      </c>
      <c r="C218" s="63" t="s">
        <v>51</v>
      </c>
      <c r="D218" s="22" t="s">
        <v>52</v>
      </c>
      <c r="E218" s="62" t="s">
        <v>3</v>
      </c>
      <c r="F218" s="2" t="s">
        <v>33</v>
      </c>
      <c r="G218" s="31" t="s">
        <v>34</v>
      </c>
      <c r="H218" s="2" t="s">
        <v>35</v>
      </c>
      <c r="I218" s="44">
        <v>8</v>
      </c>
      <c r="J218" s="2" t="s">
        <v>331</v>
      </c>
      <c r="K218" s="5">
        <v>750000</v>
      </c>
      <c r="L218" s="5">
        <v>72285644</v>
      </c>
      <c r="M218" s="5">
        <v>154017752</v>
      </c>
      <c r="N218" s="13">
        <v>5.1700000000000003E-2</v>
      </c>
      <c r="O218" s="5">
        <v>4225550</v>
      </c>
      <c r="P218" s="5"/>
      <c r="Q218" s="9">
        <v>0.17749168747263669</v>
      </c>
      <c r="R218" s="2">
        <v>1.35</v>
      </c>
      <c r="S218" s="5">
        <v>555555.5555555555</v>
      </c>
      <c r="T218" s="5">
        <v>0</v>
      </c>
      <c r="U218" s="5">
        <v>375000</v>
      </c>
      <c r="V218" s="5">
        <v>0</v>
      </c>
      <c r="W218" s="5">
        <v>375000</v>
      </c>
      <c r="X218" s="5">
        <v>0</v>
      </c>
      <c r="Y218" s="5">
        <v>0</v>
      </c>
      <c r="Z218" s="10">
        <v>0</v>
      </c>
      <c r="AA218" s="10">
        <v>0</v>
      </c>
      <c r="AB218" s="10">
        <v>0</v>
      </c>
      <c r="AC218" s="10">
        <v>0</v>
      </c>
      <c r="AD218" s="11">
        <v>0</v>
      </c>
      <c r="AE218" s="28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1"/>
    </row>
    <row r="219" spans="1:50" x14ac:dyDescent="0.25">
      <c r="A219" s="47" t="s">
        <v>353</v>
      </c>
      <c r="B219" s="47" t="s">
        <v>354</v>
      </c>
      <c r="C219" s="63" t="s">
        <v>51</v>
      </c>
      <c r="D219" s="22" t="s">
        <v>52</v>
      </c>
      <c r="E219" s="62" t="s">
        <v>3</v>
      </c>
      <c r="F219" s="2" t="s">
        <v>33</v>
      </c>
      <c r="G219" s="31" t="s">
        <v>48</v>
      </c>
      <c r="H219" s="2" t="s">
        <v>35</v>
      </c>
      <c r="I219" s="44">
        <v>8</v>
      </c>
      <c r="J219" s="2" t="s">
        <v>331</v>
      </c>
      <c r="K219" s="5">
        <v>750000</v>
      </c>
      <c r="L219" s="5">
        <v>24056382</v>
      </c>
      <c r="M219" s="5">
        <v>54245082</v>
      </c>
      <c r="N219" s="13">
        <v>0.1</v>
      </c>
      <c r="O219" s="5">
        <v>3018870</v>
      </c>
      <c r="P219" s="5"/>
      <c r="Q219" s="9">
        <v>0.2484373291993362</v>
      </c>
      <c r="R219" s="2">
        <v>1.35</v>
      </c>
      <c r="S219" s="5">
        <v>555555.5555555555</v>
      </c>
      <c r="T219" s="5">
        <v>0</v>
      </c>
      <c r="U219" s="5">
        <v>375000</v>
      </c>
      <c r="V219" s="5">
        <v>0</v>
      </c>
      <c r="W219" s="5">
        <v>375000</v>
      </c>
      <c r="X219" s="5">
        <v>0</v>
      </c>
      <c r="Y219" s="5">
        <v>0</v>
      </c>
      <c r="Z219" s="10">
        <v>0</v>
      </c>
      <c r="AA219" s="10">
        <v>0</v>
      </c>
      <c r="AB219" s="10">
        <v>0</v>
      </c>
      <c r="AC219" s="10">
        <v>0</v>
      </c>
      <c r="AD219" s="11">
        <v>0</v>
      </c>
      <c r="AE219" s="28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1"/>
    </row>
    <row r="220" spans="1:50" x14ac:dyDescent="0.25">
      <c r="A220" s="47" t="s">
        <v>355</v>
      </c>
      <c r="B220" s="47" t="s">
        <v>306</v>
      </c>
      <c r="C220" s="63" t="s">
        <v>51</v>
      </c>
      <c r="D220" s="22" t="s">
        <v>98</v>
      </c>
      <c r="E220" s="62" t="s">
        <v>3</v>
      </c>
      <c r="F220" s="2" t="s">
        <v>33</v>
      </c>
      <c r="G220" s="31" t="s">
        <v>34</v>
      </c>
      <c r="H220" s="2" t="s">
        <v>35</v>
      </c>
      <c r="I220" s="44">
        <v>8</v>
      </c>
      <c r="J220" s="2" t="s">
        <v>331</v>
      </c>
      <c r="K220" s="5">
        <v>499859</v>
      </c>
      <c r="L220" s="5">
        <v>29200373</v>
      </c>
      <c r="M220" s="5">
        <v>51022883</v>
      </c>
      <c r="N220" s="13">
        <v>0.1147</v>
      </c>
      <c r="O220" s="5">
        <v>2503042</v>
      </c>
      <c r="P220" s="5">
        <v>797049</v>
      </c>
      <c r="Q220" s="9">
        <v>0.19970060430468209</v>
      </c>
      <c r="R220" s="2">
        <v>1.35</v>
      </c>
      <c r="S220" s="5">
        <v>370265.9259259259</v>
      </c>
      <c r="T220" s="5">
        <v>250000</v>
      </c>
      <c r="U220" s="5">
        <v>0</v>
      </c>
      <c r="V220" s="5">
        <v>249859</v>
      </c>
      <c r="W220" s="5">
        <v>0</v>
      </c>
      <c r="X220" s="5">
        <v>0</v>
      </c>
      <c r="Y220" s="5">
        <v>0</v>
      </c>
      <c r="Z220" s="10">
        <v>0</v>
      </c>
      <c r="AA220" s="10">
        <v>0</v>
      </c>
      <c r="AB220" s="10">
        <v>0</v>
      </c>
      <c r="AC220" s="10">
        <v>0</v>
      </c>
      <c r="AD220" s="11">
        <v>0</v>
      </c>
      <c r="AE220" s="28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1"/>
    </row>
    <row r="221" spans="1:50" x14ac:dyDescent="0.25">
      <c r="A221" s="47" t="s">
        <v>356</v>
      </c>
      <c r="B221" s="47" t="s">
        <v>102</v>
      </c>
      <c r="C221" s="63" t="s">
        <v>51</v>
      </c>
      <c r="D221" s="22" t="s">
        <v>98</v>
      </c>
      <c r="E221" s="62" t="s">
        <v>3</v>
      </c>
      <c r="F221" s="2" t="s">
        <v>33</v>
      </c>
      <c r="G221" s="2" t="s">
        <v>616</v>
      </c>
      <c r="H221" s="2" t="s">
        <v>103</v>
      </c>
      <c r="I221" s="44">
        <v>8</v>
      </c>
      <c r="J221" s="2" t="s">
        <v>331</v>
      </c>
      <c r="K221" s="5">
        <v>1998371</v>
      </c>
      <c r="L221" s="5">
        <v>155440233</v>
      </c>
      <c r="M221" s="5">
        <v>2359518806</v>
      </c>
      <c r="N221" s="13">
        <v>5.3E-3</v>
      </c>
      <c r="O221" s="5">
        <v>11690000</v>
      </c>
      <c r="P221" s="5">
        <v>10714206</v>
      </c>
      <c r="Q221" s="9">
        <v>0.1709470487596236</v>
      </c>
      <c r="R221" s="2">
        <v>1.65</v>
      </c>
      <c r="S221" s="5">
        <v>1211133.939393939</v>
      </c>
      <c r="T221" s="5">
        <v>0</v>
      </c>
      <c r="U221" s="5">
        <v>98371</v>
      </c>
      <c r="V221" s="5">
        <v>0</v>
      </c>
      <c r="W221" s="5">
        <v>1900000</v>
      </c>
      <c r="X221" s="5">
        <v>0</v>
      </c>
      <c r="Y221" s="5">
        <v>0</v>
      </c>
      <c r="Z221" s="10">
        <v>0</v>
      </c>
      <c r="AA221" s="10">
        <v>0</v>
      </c>
      <c r="AB221" s="10">
        <v>0</v>
      </c>
      <c r="AC221" s="10">
        <v>0</v>
      </c>
      <c r="AD221" s="11">
        <v>0</v>
      </c>
      <c r="AE221" s="28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1"/>
    </row>
    <row r="222" spans="1:50" x14ac:dyDescent="0.25">
      <c r="A222" s="47" t="s">
        <v>357</v>
      </c>
      <c r="B222" s="47" t="s">
        <v>310</v>
      </c>
      <c r="C222" s="63" t="s">
        <v>51</v>
      </c>
      <c r="D222" s="22" t="s">
        <v>110</v>
      </c>
      <c r="E222" s="62" t="s">
        <v>3</v>
      </c>
      <c r="F222" s="2" t="s">
        <v>33</v>
      </c>
      <c r="G222" s="31" t="s">
        <v>34</v>
      </c>
      <c r="H222" s="2" t="s">
        <v>35</v>
      </c>
      <c r="I222" s="44">
        <v>8</v>
      </c>
      <c r="J222" s="2" t="s">
        <v>331</v>
      </c>
      <c r="K222" s="5">
        <v>300000</v>
      </c>
      <c r="L222" s="5">
        <v>3709776</v>
      </c>
      <c r="M222" s="5">
        <v>8251922</v>
      </c>
      <c r="N222" s="13">
        <v>0.3654</v>
      </c>
      <c r="O222" s="5">
        <v>1659700</v>
      </c>
      <c r="P222" s="5">
        <v>1659700</v>
      </c>
      <c r="Q222" s="9">
        <v>0.18075555823341569</v>
      </c>
      <c r="R222" s="2">
        <v>1.35</v>
      </c>
      <c r="S222" s="5">
        <v>222222.22222222219</v>
      </c>
      <c r="T222" s="5">
        <v>0</v>
      </c>
      <c r="U222" s="5">
        <v>0</v>
      </c>
      <c r="V222" s="5">
        <v>120000</v>
      </c>
      <c r="W222" s="5">
        <v>180000</v>
      </c>
      <c r="X222" s="5">
        <v>0</v>
      </c>
      <c r="Y222" s="5">
        <v>0</v>
      </c>
      <c r="Z222" s="10">
        <v>0</v>
      </c>
      <c r="AA222" s="10">
        <v>0</v>
      </c>
      <c r="AB222" s="10">
        <v>0</v>
      </c>
      <c r="AC222" s="10">
        <v>0</v>
      </c>
      <c r="AD222" s="11">
        <v>0</v>
      </c>
      <c r="AE222" s="28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1"/>
    </row>
    <row r="223" spans="1:50" x14ac:dyDescent="0.25">
      <c r="A223" s="47" t="s">
        <v>358</v>
      </c>
      <c r="B223" s="47" t="s">
        <v>235</v>
      </c>
      <c r="C223" s="63" t="s">
        <v>51</v>
      </c>
      <c r="D223" s="22" t="s">
        <v>110</v>
      </c>
      <c r="E223" s="62" t="s">
        <v>3</v>
      </c>
      <c r="F223" s="2" t="s">
        <v>33</v>
      </c>
      <c r="G223" s="31" t="s">
        <v>34</v>
      </c>
      <c r="H223" s="2" t="s">
        <v>35</v>
      </c>
      <c r="I223" s="44">
        <v>8</v>
      </c>
      <c r="J223" s="2" t="s">
        <v>331</v>
      </c>
      <c r="K223" s="5">
        <v>300000</v>
      </c>
      <c r="L223" s="5">
        <v>45071954</v>
      </c>
      <c r="M223" s="5">
        <v>121513130</v>
      </c>
      <c r="N223" s="13">
        <v>2.5499999999999998E-2</v>
      </c>
      <c r="O223" s="5">
        <v>1949250</v>
      </c>
      <c r="P223" s="5">
        <v>1949250</v>
      </c>
      <c r="Q223" s="9">
        <v>0.15390534821085031</v>
      </c>
      <c r="R223" s="2">
        <v>1.35</v>
      </c>
      <c r="S223" s="5">
        <v>222222.22222222219</v>
      </c>
      <c r="T223" s="5">
        <v>0</v>
      </c>
      <c r="U223" s="5">
        <v>0</v>
      </c>
      <c r="V223" s="5">
        <v>120000</v>
      </c>
      <c r="W223" s="5">
        <v>180000</v>
      </c>
      <c r="X223" s="5">
        <v>0</v>
      </c>
      <c r="Y223" s="5">
        <v>0</v>
      </c>
      <c r="Z223" s="10">
        <v>0</v>
      </c>
      <c r="AA223" s="10">
        <v>0</v>
      </c>
      <c r="AB223" s="10">
        <v>0</v>
      </c>
      <c r="AC223" s="10">
        <v>0</v>
      </c>
      <c r="AD223" s="11">
        <v>0</v>
      </c>
      <c r="AE223" s="28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1"/>
    </row>
    <row r="224" spans="1:50" x14ac:dyDescent="0.25">
      <c r="A224" s="47" t="s">
        <v>359</v>
      </c>
      <c r="B224" s="47" t="s">
        <v>313</v>
      </c>
      <c r="C224" s="63" t="s">
        <v>51</v>
      </c>
      <c r="D224" s="22" t="s">
        <v>110</v>
      </c>
      <c r="E224" s="62" t="s">
        <v>3</v>
      </c>
      <c r="F224" s="2" t="s">
        <v>33</v>
      </c>
      <c r="G224" s="31" t="s">
        <v>34</v>
      </c>
      <c r="H224" s="2" t="s">
        <v>35</v>
      </c>
      <c r="I224" s="44">
        <v>8</v>
      </c>
      <c r="J224" s="2" t="s">
        <v>331</v>
      </c>
      <c r="K224" s="5">
        <v>900000</v>
      </c>
      <c r="L224" s="5">
        <v>63548888</v>
      </c>
      <c r="M224" s="5">
        <v>132671964</v>
      </c>
      <c r="N224" s="13">
        <v>6.5000000000000002E-2</v>
      </c>
      <c r="O224" s="5">
        <v>4493000</v>
      </c>
      <c r="P224" s="5">
        <v>3304761</v>
      </c>
      <c r="Q224" s="9">
        <v>0.20031159581571331</v>
      </c>
      <c r="R224" s="2">
        <v>1.35</v>
      </c>
      <c r="S224" s="5">
        <v>666666.66666666663</v>
      </c>
      <c r="T224" s="5">
        <v>0</v>
      </c>
      <c r="U224" s="5">
        <v>0</v>
      </c>
      <c r="V224" s="5">
        <v>360000</v>
      </c>
      <c r="W224" s="5">
        <v>540000</v>
      </c>
      <c r="X224" s="5">
        <v>0</v>
      </c>
      <c r="Y224" s="5">
        <v>0</v>
      </c>
      <c r="Z224" s="10">
        <v>0</v>
      </c>
      <c r="AA224" s="10">
        <v>0</v>
      </c>
      <c r="AB224" s="10">
        <v>0</v>
      </c>
      <c r="AC224" s="10">
        <v>0</v>
      </c>
      <c r="AD224" s="11">
        <v>0</v>
      </c>
      <c r="AE224" s="28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1"/>
    </row>
    <row r="225" spans="1:50" x14ac:dyDescent="0.25">
      <c r="A225" s="47" t="s">
        <v>360</v>
      </c>
      <c r="B225" s="47" t="s">
        <v>239</v>
      </c>
      <c r="C225" s="63" t="s">
        <v>51</v>
      </c>
      <c r="D225" s="22" t="s">
        <v>110</v>
      </c>
      <c r="E225" s="62" t="s">
        <v>3</v>
      </c>
      <c r="F225" s="2" t="s">
        <v>33</v>
      </c>
      <c r="G225" s="31" t="s">
        <v>34</v>
      </c>
      <c r="H225" s="2" t="s">
        <v>35</v>
      </c>
      <c r="I225" s="44">
        <v>8</v>
      </c>
      <c r="J225" s="2" t="s">
        <v>331</v>
      </c>
      <c r="K225" s="5">
        <v>1500000</v>
      </c>
      <c r="L225" s="5">
        <v>8892839</v>
      </c>
      <c r="M225" s="5">
        <v>20818001</v>
      </c>
      <c r="N225" s="13">
        <v>0.66290000000000004</v>
      </c>
      <c r="O225" s="5">
        <v>7905190</v>
      </c>
      <c r="P225" s="5">
        <v>7335750</v>
      </c>
      <c r="Q225" s="9">
        <v>0.18974875999185339</v>
      </c>
      <c r="R225" s="2">
        <v>1.35</v>
      </c>
      <c r="S225" s="5">
        <v>1111111.111111111</v>
      </c>
      <c r="T225" s="5">
        <v>0</v>
      </c>
      <c r="U225" s="5">
        <v>0</v>
      </c>
      <c r="V225" s="5">
        <v>600000</v>
      </c>
      <c r="W225" s="5">
        <v>900000</v>
      </c>
      <c r="X225" s="5">
        <v>0</v>
      </c>
      <c r="Y225" s="5">
        <v>0</v>
      </c>
      <c r="Z225" s="10">
        <v>0</v>
      </c>
      <c r="AA225" s="10">
        <v>0</v>
      </c>
      <c r="AB225" s="10">
        <v>0</v>
      </c>
      <c r="AC225" s="10">
        <v>0</v>
      </c>
      <c r="AD225" s="11">
        <v>0</v>
      </c>
      <c r="AE225" s="28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1"/>
    </row>
    <row r="226" spans="1:50" x14ac:dyDescent="0.25">
      <c r="A226" s="47" t="s">
        <v>361</v>
      </c>
      <c r="B226" s="47" t="s">
        <v>126</v>
      </c>
      <c r="C226" s="63" t="s">
        <v>51</v>
      </c>
      <c r="D226" s="22" t="s">
        <v>126</v>
      </c>
      <c r="E226" s="62" t="s">
        <v>3</v>
      </c>
      <c r="F226" s="2" t="s">
        <v>33</v>
      </c>
      <c r="G226" s="31" t="s">
        <v>34</v>
      </c>
      <c r="H226" s="2" t="s">
        <v>35</v>
      </c>
      <c r="I226" s="44">
        <v>8</v>
      </c>
      <c r="J226" s="2" t="s">
        <v>331</v>
      </c>
      <c r="K226" s="5">
        <v>1000000</v>
      </c>
      <c r="L226" s="5">
        <v>8217570</v>
      </c>
      <c r="M226" s="5">
        <v>75441219</v>
      </c>
      <c r="N226" s="13">
        <v>0.08</v>
      </c>
      <c r="O226" s="5">
        <v>5377892</v>
      </c>
      <c r="P226" s="5">
        <v>5377892</v>
      </c>
      <c r="Q226" s="9">
        <v>0.1859464637817197</v>
      </c>
      <c r="R226" s="2">
        <v>1.35</v>
      </c>
      <c r="S226" s="5">
        <v>740740.74074074067</v>
      </c>
      <c r="T226" s="5">
        <v>200000</v>
      </c>
      <c r="U226" s="5">
        <v>0</v>
      </c>
      <c r="V226" s="5">
        <v>0</v>
      </c>
      <c r="W226" s="5">
        <v>500000</v>
      </c>
      <c r="X226" s="5">
        <v>0</v>
      </c>
      <c r="Y226" s="5">
        <v>0</v>
      </c>
      <c r="Z226" s="10">
        <v>0</v>
      </c>
      <c r="AA226" s="10">
        <v>300000</v>
      </c>
      <c r="AB226" s="10">
        <v>0</v>
      </c>
      <c r="AC226" s="10">
        <v>0</v>
      </c>
      <c r="AD226" s="11">
        <v>0</v>
      </c>
      <c r="AE226" s="28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1"/>
    </row>
    <row r="227" spans="1:50" x14ac:dyDescent="0.25">
      <c r="A227" s="47" t="s">
        <v>362</v>
      </c>
      <c r="B227" s="47" t="s">
        <v>85</v>
      </c>
      <c r="C227" s="63" t="s">
        <v>51</v>
      </c>
      <c r="D227" s="22" t="s">
        <v>85</v>
      </c>
      <c r="E227" s="62" t="s">
        <v>3</v>
      </c>
      <c r="F227" s="2" t="s">
        <v>33</v>
      </c>
      <c r="G227" s="31" t="s">
        <v>34</v>
      </c>
      <c r="H227" s="2" t="s">
        <v>35</v>
      </c>
      <c r="I227" s="44">
        <v>8</v>
      </c>
      <c r="J227" s="2" t="s">
        <v>331</v>
      </c>
      <c r="K227" s="5">
        <v>2500000</v>
      </c>
      <c r="L227" s="5">
        <v>154413040</v>
      </c>
      <c r="M227" s="5">
        <v>301347565</v>
      </c>
      <c r="N227" s="13">
        <v>8.9499999999999996E-2</v>
      </c>
      <c r="O227" s="5">
        <v>13150640</v>
      </c>
      <c r="P227" s="5"/>
      <c r="Q227" s="9">
        <v>0.19010481619145531</v>
      </c>
      <c r="R227" s="2">
        <v>1.35</v>
      </c>
      <c r="S227" s="5">
        <v>1851851.8518518519</v>
      </c>
      <c r="T227" s="5">
        <v>600000</v>
      </c>
      <c r="U227" s="5">
        <v>900000</v>
      </c>
      <c r="V227" s="5">
        <v>0</v>
      </c>
      <c r="W227" s="5">
        <v>0</v>
      </c>
      <c r="X227" s="5">
        <v>0</v>
      </c>
      <c r="Y227" s="5">
        <v>0</v>
      </c>
      <c r="Z227" s="10">
        <v>0</v>
      </c>
      <c r="AA227" s="10">
        <v>1000000</v>
      </c>
      <c r="AB227" s="10">
        <v>0</v>
      </c>
      <c r="AC227" s="10">
        <v>0</v>
      </c>
      <c r="AD227" s="11">
        <v>0</v>
      </c>
      <c r="AE227" s="28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1"/>
    </row>
    <row r="228" spans="1:50" x14ac:dyDescent="0.25">
      <c r="A228" s="47" t="s">
        <v>363</v>
      </c>
      <c r="B228" s="47" t="s">
        <v>364</v>
      </c>
      <c r="C228" s="63" t="s">
        <v>51</v>
      </c>
      <c r="D228" s="22" t="s">
        <v>85</v>
      </c>
      <c r="E228" s="64" t="s">
        <v>535</v>
      </c>
      <c r="F228" s="2" t="s">
        <v>41</v>
      </c>
      <c r="G228" s="31" t="s">
        <v>34</v>
      </c>
      <c r="H228" s="2" t="s">
        <v>35</v>
      </c>
      <c r="I228" s="44">
        <v>8</v>
      </c>
      <c r="J228" s="2" t="s">
        <v>331</v>
      </c>
      <c r="K228" s="5">
        <v>2500000</v>
      </c>
      <c r="L228" s="5">
        <v>154413040</v>
      </c>
      <c r="M228" s="5">
        <v>301347565</v>
      </c>
      <c r="N228" s="13">
        <v>8.9499999999999996E-2</v>
      </c>
      <c r="O228" s="5">
        <v>13150640</v>
      </c>
      <c r="P228" s="5"/>
      <c r="Q228" s="9">
        <v>0.19010481619145531</v>
      </c>
      <c r="R228" s="2">
        <v>1.35</v>
      </c>
      <c r="S228" s="5">
        <v>1851851.8518518519</v>
      </c>
      <c r="T228" s="5">
        <v>0</v>
      </c>
      <c r="U228" s="5">
        <v>1752946</v>
      </c>
      <c r="V228" s="5">
        <v>0</v>
      </c>
      <c r="W228" s="5">
        <v>0</v>
      </c>
      <c r="X228" s="5">
        <v>0</v>
      </c>
      <c r="Y228" s="5">
        <v>0</v>
      </c>
      <c r="Z228" s="10">
        <v>0</v>
      </c>
      <c r="AA228" s="10">
        <v>0</v>
      </c>
      <c r="AB228" s="10">
        <v>747054</v>
      </c>
      <c r="AC228" s="10">
        <v>0</v>
      </c>
      <c r="AD228" s="11">
        <v>0</v>
      </c>
      <c r="AE228" s="28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1"/>
    </row>
    <row r="229" spans="1:50" x14ac:dyDescent="0.25">
      <c r="A229" s="47" t="s">
        <v>365</v>
      </c>
      <c r="B229" s="47" t="s">
        <v>366</v>
      </c>
      <c r="C229" s="63" t="s">
        <v>51</v>
      </c>
      <c r="D229" s="22" t="s">
        <v>85</v>
      </c>
      <c r="E229" s="64" t="s">
        <v>534</v>
      </c>
      <c r="F229" s="2" t="s">
        <v>41</v>
      </c>
      <c r="G229" s="31" t="s">
        <v>34</v>
      </c>
      <c r="H229" s="2" t="s">
        <v>35</v>
      </c>
      <c r="I229" s="44">
        <v>8</v>
      </c>
      <c r="J229" s="2" t="s">
        <v>331</v>
      </c>
      <c r="K229" s="5">
        <v>1500000</v>
      </c>
      <c r="L229" s="5">
        <v>154413040</v>
      </c>
      <c r="M229" s="5">
        <v>301347565</v>
      </c>
      <c r="N229" s="13">
        <v>5.3699999999999998E-2</v>
      </c>
      <c r="O229" s="5">
        <f>N229*(M229-L229)</f>
        <v>7890383.9924999997</v>
      </c>
      <c r="P229" s="5"/>
      <c r="Q229" s="9">
        <v>0.19010481637215451</v>
      </c>
      <c r="R229" s="2">
        <v>1.35</v>
      </c>
      <c r="S229" s="5">
        <v>1111111.111111111</v>
      </c>
      <c r="T229" s="5">
        <v>0</v>
      </c>
      <c r="U229" s="5">
        <v>1500000</v>
      </c>
      <c r="V229" s="5">
        <v>0</v>
      </c>
      <c r="W229" s="5">
        <v>0</v>
      </c>
      <c r="X229" s="5">
        <v>0</v>
      </c>
      <c r="Y229" s="5">
        <v>0</v>
      </c>
      <c r="Z229" s="10">
        <v>0</v>
      </c>
      <c r="AA229" s="10">
        <v>0</v>
      </c>
      <c r="AB229" s="10">
        <v>0</v>
      </c>
      <c r="AC229" s="10">
        <v>0</v>
      </c>
      <c r="AD229" s="11">
        <v>0</v>
      </c>
      <c r="AE229" s="28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1"/>
    </row>
    <row r="230" spans="1:50" x14ac:dyDescent="0.25">
      <c r="A230" s="47" t="s">
        <v>367</v>
      </c>
      <c r="B230" s="47" t="s">
        <v>191</v>
      </c>
      <c r="C230" s="2" t="s">
        <v>31</v>
      </c>
      <c r="D230" s="22" t="s">
        <v>55</v>
      </c>
      <c r="E230" s="62" t="s">
        <v>3</v>
      </c>
      <c r="F230" s="2" t="s">
        <v>33</v>
      </c>
      <c r="G230" s="31" t="s">
        <v>34</v>
      </c>
      <c r="H230" s="2" t="s">
        <v>35</v>
      </c>
      <c r="I230" s="44">
        <v>7</v>
      </c>
      <c r="J230" s="2" t="s">
        <v>368</v>
      </c>
      <c r="K230" s="5">
        <v>200000</v>
      </c>
      <c r="L230" s="5">
        <v>14450000</v>
      </c>
      <c r="M230" s="5">
        <v>33005555</v>
      </c>
      <c r="N230" s="13">
        <v>6.08E-2</v>
      </c>
      <c r="O230" s="5">
        <v>1128178</v>
      </c>
      <c r="P230" s="5"/>
      <c r="Q230" s="9">
        <v>0.17727698997853181</v>
      </c>
      <c r="R230" s="2">
        <v>1.35</v>
      </c>
      <c r="S230" s="5">
        <v>148148.14814814809</v>
      </c>
      <c r="T230" s="5">
        <v>0</v>
      </c>
      <c r="U230" s="5">
        <v>0</v>
      </c>
      <c r="V230" s="5">
        <v>200000</v>
      </c>
      <c r="W230" s="5">
        <v>0</v>
      </c>
      <c r="X230" s="5">
        <v>0</v>
      </c>
      <c r="Y230" s="5">
        <v>0</v>
      </c>
      <c r="Z230" s="10">
        <v>0</v>
      </c>
      <c r="AA230" s="10">
        <v>0</v>
      </c>
      <c r="AB230" s="10">
        <v>0</v>
      </c>
      <c r="AC230" s="10">
        <v>0</v>
      </c>
      <c r="AD230" s="11">
        <v>0</v>
      </c>
      <c r="AE230" s="28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1"/>
    </row>
    <row r="231" spans="1:50" x14ac:dyDescent="0.25">
      <c r="A231" s="47" t="s">
        <v>369</v>
      </c>
      <c r="B231" s="47" t="s">
        <v>330</v>
      </c>
      <c r="C231" s="63" t="s">
        <v>31</v>
      </c>
      <c r="D231" s="22" t="s">
        <v>32</v>
      </c>
      <c r="E231" s="62" t="s">
        <v>3</v>
      </c>
      <c r="F231" s="2" t="s">
        <v>33</v>
      </c>
      <c r="G231" s="31" t="s">
        <v>34</v>
      </c>
      <c r="H231" s="2" t="s">
        <v>35</v>
      </c>
      <c r="I231" s="44">
        <v>7</v>
      </c>
      <c r="J231" s="2" t="s">
        <v>368</v>
      </c>
      <c r="K231" s="5">
        <v>804786</v>
      </c>
      <c r="L231" s="5">
        <v>13181000</v>
      </c>
      <c r="M231" s="5">
        <v>39679251</v>
      </c>
      <c r="N231" s="13">
        <v>0.29830000000000001</v>
      </c>
      <c r="O231" s="5">
        <v>8000000</v>
      </c>
      <c r="P231" s="5"/>
      <c r="Q231" s="9">
        <v>0.10059825</v>
      </c>
      <c r="R231" s="2">
        <v>1.35</v>
      </c>
      <c r="S231" s="5">
        <v>596137.77777777775</v>
      </c>
      <c r="T231" s="5">
        <v>804786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10">
        <v>0</v>
      </c>
      <c r="AA231" s="10">
        <v>0</v>
      </c>
      <c r="AB231" s="10">
        <v>0</v>
      </c>
      <c r="AC231" s="10">
        <v>0</v>
      </c>
      <c r="AD231" s="11">
        <v>0</v>
      </c>
      <c r="AE231" s="28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1"/>
    </row>
    <row r="232" spans="1:50" x14ac:dyDescent="0.25">
      <c r="A232" s="47" t="s">
        <v>370</v>
      </c>
      <c r="B232" s="47" t="s">
        <v>333</v>
      </c>
      <c r="C232" s="63" t="s">
        <v>31</v>
      </c>
      <c r="D232" s="22" t="s">
        <v>32</v>
      </c>
      <c r="E232" s="62" t="s">
        <v>3</v>
      </c>
      <c r="F232" s="2" t="s">
        <v>33</v>
      </c>
      <c r="G232" s="31" t="s">
        <v>34</v>
      </c>
      <c r="H232" s="2" t="s">
        <v>35</v>
      </c>
      <c r="I232" s="44">
        <v>7</v>
      </c>
      <c r="J232" s="2" t="s">
        <v>368</v>
      </c>
      <c r="K232" s="5">
        <v>582716</v>
      </c>
      <c r="L232" s="5">
        <v>7960000</v>
      </c>
      <c r="M232" s="5">
        <v>23848650</v>
      </c>
      <c r="N232" s="13">
        <v>0.27100000000000002</v>
      </c>
      <c r="O232" s="5">
        <v>4305679</v>
      </c>
      <c r="P232" s="5">
        <v>2185100</v>
      </c>
      <c r="Q232" s="9">
        <v>0.1353366100909984</v>
      </c>
      <c r="R232" s="2">
        <v>1.35</v>
      </c>
      <c r="S232" s="5">
        <v>431641.48148148152</v>
      </c>
      <c r="T232" s="5">
        <v>582716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10">
        <v>0</v>
      </c>
      <c r="AA232" s="10">
        <v>0</v>
      </c>
      <c r="AB232" s="10">
        <v>0</v>
      </c>
      <c r="AC232" s="10">
        <v>0</v>
      </c>
      <c r="AD232" s="11">
        <v>0</v>
      </c>
      <c r="AE232" s="28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1"/>
    </row>
    <row r="233" spans="1:50" x14ac:dyDescent="0.25">
      <c r="A233" s="47" t="s">
        <v>371</v>
      </c>
      <c r="B233" s="47" t="s">
        <v>47</v>
      </c>
      <c r="C233" s="2" t="s">
        <v>31</v>
      </c>
      <c r="D233" s="22" t="s">
        <v>47</v>
      </c>
      <c r="E233" s="62" t="s">
        <v>3</v>
      </c>
      <c r="F233" s="2" t="s">
        <v>33</v>
      </c>
      <c r="G233" s="31" t="s">
        <v>34</v>
      </c>
      <c r="H233" s="2" t="s">
        <v>35</v>
      </c>
      <c r="I233" s="44">
        <v>7</v>
      </c>
      <c r="J233" s="2" t="s">
        <v>368</v>
      </c>
      <c r="K233" s="5">
        <v>1500000</v>
      </c>
      <c r="L233" s="5">
        <v>31000000</v>
      </c>
      <c r="M233" s="5">
        <v>60018480</v>
      </c>
      <c r="N233" s="16">
        <v>0.2223</v>
      </c>
      <c r="O233" s="5">
        <v>6451139</v>
      </c>
      <c r="P233" s="5"/>
      <c r="Q233" s="9">
        <v>0.23251707954207779</v>
      </c>
      <c r="R233" s="2">
        <v>1.35</v>
      </c>
      <c r="S233" s="5">
        <v>1111111.111111111</v>
      </c>
      <c r="T233" s="5">
        <v>750000</v>
      </c>
      <c r="U233" s="5">
        <v>0</v>
      </c>
      <c r="V233" s="5">
        <v>750000</v>
      </c>
      <c r="W233" s="5">
        <v>0</v>
      </c>
      <c r="X233" s="5">
        <v>0</v>
      </c>
      <c r="Y233" s="5">
        <v>0</v>
      </c>
      <c r="Z233" s="10">
        <v>0</v>
      </c>
      <c r="AA233" s="10">
        <v>0</v>
      </c>
      <c r="AB233" s="10">
        <v>0</v>
      </c>
      <c r="AC233" s="10">
        <v>0</v>
      </c>
      <c r="AD233" s="11">
        <v>0</v>
      </c>
      <c r="AE233" s="28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1"/>
    </row>
    <row r="234" spans="1:50" x14ac:dyDescent="0.25">
      <c r="A234" s="47" t="s">
        <v>372</v>
      </c>
      <c r="B234" s="47" t="s">
        <v>373</v>
      </c>
      <c r="C234" s="2" t="s">
        <v>31</v>
      </c>
      <c r="D234" s="22" t="s">
        <v>218</v>
      </c>
      <c r="E234" s="62" t="s">
        <v>3</v>
      </c>
      <c r="F234" s="2" t="s">
        <v>33</v>
      </c>
      <c r="G234" s="31" t="s">
        <v>34</v>
      </c>
      <c r="H234" s="2" t="s">
        <v>35</v>
      </c>
      <c r="I234" s="44">
        <v>7</v>
      </c>
      <c r="J234" s="2" t="s">
        <v>368</v>
      </c>
      <c r="K234" s="5">
        <v>1398701</v>
      </c>
      <c r="L234" s="5">
        <v>81319000</v>
      </c>
      <c r="M234" s="5">
        <v>222448032</v>
      </c>
      <c r="N234" s="16">
        <v>4.9599999999999998E-2</v>
      </c>
      <c r="O234" s="5">
        <v>7000000</v>
      </c>
      <c r="P234" s="5"/>
      <c r="Q234" s="9">
        <v>0.19981442857142859</v>
      </c>
      <c r="R234" s="2">
        <v>1.35</v>
      </c>
      <c r="S234" s="5">
        <v>1036074.8148148149</v>
      </c>
      <c r="T234" s="5">
        <v>0</v>
      </c>
      <c r="U234" s="14">
        <v>0</v>
      </c>
      <c r="V234" s="5">
        <v>1398701</v>
      </c>
      <c r="W234" s="5">
        <v>0</v>
      </c>
      <c r="X234" s="5">
        <v>0</v>
      </c>
      <c r="Y234" s="5">
        <v>0</v>
      </c>
      <c r="Z234" s="10">
        <v>0</v>
      </c>
      <c r="AA234" s="10">
        <v>0</v>
      </c>
      <c r="AB234" s="10">
        <v>0</v>
      </c>
      <c r="AC234" s="10">
        <v>0</v>
      </c>
      <c r="AD234" s="11">
        <v>0</v>
      </c>
      <c r="AE234" s="28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1"/>
    </row>
    <row r="235" spans="1:50" x14ac:dyDescent="0.25">
      <c r="A235" s="47" t="s">
        <v>374</v>
      </c>
      <c r="B235" s="47" t="s">
        <v>64</v>
      </c>
      <c r="C235" s="63" t="s">
        <v>31</v>
      </c>
      <c r="D235" s="22" t="s">
        <v>65</v>
      </c>
      <c r="E235" s="62" t="s">
        <v>3</v>
      </c>
      <c r="F235" s="2" t="s">
        <v>33</v>
      </c>
      <c r="G235" s="31" t="s">
        <v>34</v>
      </c>
      <c r="H235" s="2" t="s">
        <v>35</v>
      </c>
      <c r="I235" s="44">
        <v>7</v>
      </c>
      <c r="J235" s="2" t="s">
        <v>368</v>
      </c>
      <c r="K235" s="5">
        <v>250000</v>
      </c>
      <c r="L235" s="5">
        <v>4568004</v>
      </c>
      <c r="M235" s="5">
        <v>20313000</v>
      </c>
      <c r="N235" s="16">
        <v>9.5100000000000004E-2</v>
      </c>
      <c r="O235" s="5">
        <v>1498058</v>
      </c>
      <c r="P235" s="5"/>
      <c r="Q235" s="9">
        <v>0.1668827241668881</v>
      </c>
      <c r="R235" s="2">
        <v>1.35</v>
      </c>
      <c r="S235" s="5">
        <v>185185.1851851852</v>
      </c>
      <c r="T235" s="5">
        <v>250000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10">
        <v>0</v>
      </c>
      <c r="AA235" s="10">
        <v>0</v>
      </c>
      <c r="AB235" s="10">
        <v>0</v>
      </c>
      <c r="AC235" s="10">
        <v>0</v>
      </c>
      <c r="AD235" s="11">
        <v>0</v>
      </c>
      <c r="AE235" s="28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1"/>
    </row>
    <row r="236" spans="1:50" x14ac:dyDescent="0.25">
      <c r="A236" s="47" t="s">
        <v>375</v>
      </c>
      <c r="B236" s="47" t="s">
        <v>67</v>
      </c>
      <c r="C236" s="63" t="s">
        <v>31</v>
      </c>
      <c r="D236" s="22" t="s">
        <v>65</v>
      </c>
      <c r="E236" s="62" t="s">
        <v>3</v>
      </c>
      <c r="F236" s="2" t="s">
        <v>33</v>
      </c>
      <c r="G236" s="31" t="s">
        <v>34</v>
      </c>
      <c r="H236" s="2" t="s">
        <v>35</v>
      </c>
      <c r="I236" s="44">
        <v>7</v>
      </c>
      <c r="J236" s="2" t="s">
        <v>368</v>
      </c>
      <c r="K236" s="5">
        <v>250000</v>
      </c>
      <c r="L236" s="5">
        <v>16750008</v>
      </c>
      <c r="M236" s="5">
        <v>32742252</v>
      </c>
      <c r="N236" s="16">
        <v>8.3699999999999997E-2</v>
      </c>
      <c r="O236" s="5">
        <v>1338675</v>
      </c>
      <c r="P236" s="5"/>
      <c r="Q236" s="9">
        <v>0.18675182549909419</v>
      </c>
      <c r="R236" s="2">
        <v>1.35</v>
      </c>
      <c r="S236" s="5">
        <v>185185.1851851852</v>
      </c>
      <c r="T236" s="5">
        <v>250000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10">
        <v>0</v>
      </c>
      <c r="AA236" s="10">
        <v>0</v>
      </c>
      <c r="AB236" s="10">
        <v>0</v>
      </c>
      <c r="AC236" s="10">
        <v>0</v>
      </c>
      <c r="AD236" s="11">
        <v>0</v>
      </c>
      <c r="AE236" s="28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1"/>
    </row>
    <row r="237" spans="1:50" x14ac:dyDescent="0.25">
      <c r="A237" s="47" t="s">
        <v>376</v>
      </c>
      <c r="B237" s="47" t="s">
        <v>337</v>
      </c>
      <c r="C237" s="63" t="s">
        <v>31</v>
      </c>
      <c r="D237" s="22" t="s">
        <v>40</v>
      </c>
      <c r="E237" s="64" t="s">
        <v>534</v>
      </c>
      <c r="F237" s="2" t="s">
        <v>41</v>
      </c>
      <c r="G237" s="31" t="s">
        <v>34</v>
      </c>
      <c r="H237" s="2" t="s">
        <v>35</v>
      </c>
      <c r="I237" s="44">
        <v>7</v>
      </c>
      <c r="J237" s="2" t="s">
        <v>368</v>
      </c>
      <c r="K237" s="5">
        <v>700000</v>
      </c>
      <c r="L237" s="5">
        <v>22970000</v>
      </c>
      <c r="M237" s="5">
        <v>132546120</v>
      </c>
      <c r="N237" s="16">
        <v>4.0099999999999997E-2</v>
      </c>
      <c r="O237" s="5">
        <v>4397760</v>
      </c>
      <c r="P237" s="5"/>
      <c r="Q237" s="9">
        <v>0.1591719420796042</v>
      </c>
      <c r="R237" s="2">
        <v>1.35</v>
      </c>
      <c r="S237" s="5">
        <v>518518.51851851848</v>
      </c>
      <c r="T237" s="5">
        <v>0</v>
      </c>
      <c r="U237" s="5">
        <v>300000</v>
      </c>
      <c r="V237" s="5">
        <v>0</v>
      </c>
      <c r="W237" s="5">
        <v>0</v>
      </c>
      <c r="X237" s="5">
        <v>400000</v>
      </c>
      <c r="Y237" s="5">
        <v>0</v>
      </c>
      <c r="Z237" s="10">
        <v>0</v>
      </c>
      <c r="AA237" s="10">
        <v>0</v>
      </c>
      <c r="AB237" s="10">
        <v>0</v>
      </c>
      <c r="AC237" s="10">
        <v>0</v>
      </c>
      <c r="AD237" s="11">
        <v>0</v>
      </c>
      <c r="AE237" s="28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1"/>
    </row>
    <row r="238" spans="1:50" x14ac:dyDescent="0.25">
      <c r="A238" s="47" t="s">
        <v>377</v>
      </c>
      <c r="B238" s="47" t="s">
        <v>339</v>
      </c>
      <c r="C238" s="2" t="s">
        <v>31</v>
      </c>
      <c r="D238" s="22" t="s">
        <v>44</v>
      </c>
      <c r="E238" s="64" t="s">
        <v>534</v>
      </c>
      <c r="F238" s="2" t="s">
        <v>41</v>
      </c>
      <c r="G238" s="31" t="s">
        <v>34</v>
      </c>
      <c r="H238" s="2" t="s">
        <v>35</v>
      </c>
      <c r="I238" s="44">
        <v>7</v>
      </c>
      <c r="J238" s="2" t="s">
        <v>368</v>
      </c>
      <c r="K238" s="5">
        <v>2142659</v>
      </c>
      <c r="L238" s="5">
        <v>21000000</v>
      </c>
      <c r="M238" s="5">
        <v>61000000</v>
      </c>
      <c r="N238" s="16">
        <v>0.375</v>
      </c>
      <c r="O238" s="5">
        <v>15000000</v>
      </c>
      <c r="P238" s="5"/>
      <c r="Q238" s="9">
        <v>0.14284393333333331</v>
      </c>
      <c r="R238" s="2">
        <v>1.35</v>
      </c>
      <c r="S238" s="5">
        <v>1587154.8148148151</v>
      </c>
      <c r="T238" s="5">
        <v>0</v>
      </c>
      <c r="U238" s="5">
        <v>1442659</v>
      </c>
      <c r="V238" s="5">
        <v>0</v>
      </c>
      <c r="W238" s="5">
        <v>0</v>
      </c>
      <c r="X238" s="5">
        <v>700000</v>
      </c>
      <c r="Y238" s="5">
        <v>0</v>
      </c>
      <c r="Z238" s="10">
        <v>0</v>
      </c>
      <c r="AA238" s="10">
        <v>0</v>
      </c>
      <c r="AB238" s="10">
        <v>0</v>
      </c>
      <c r="AC238" s="10">
        <v>0</v>
      </c>
      <c r="AD238" s="11">
        <v>0</v>
      </c>
      <c r="AE238" s="28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1"/>
    </row>
    <row r="239" spans="1:50" x14ac:dyDescent="0.25">
      <c r="A239" s="47" t="s">
        <v>378</v>
      </c>
      <c r="B239" s="47" t="s">
        <v>379</v>
      </c>
      <c r="C239" s="2" t="s">
        <v>31</v>
      </c>
      <c r="D239" s="22" t="s">
        <v>47</v>
      </c>
      <c r="E239" s="64" t="s">
        <v>534</v>
      </c>
      <c r="F239" s="2" t="s">
        <v>41</v>
      </c>
      <c r="G239" s="31" t="s">
        <v>34</v>
      </c>
      <c r="H239" s="2" t="s">
        <v>35</v>
      </c>
      <c r="I239" s="44">
        <v>7</v>
      </c>
      <c r="J239" s="2" t="s">
        <v>368</v>
      </c>
      <c r="K239" s="5">
        <v>1500000</v>
      </c>
      <c r="L239" s="5">
        <v>31000000</v>
      </c>
      <c r="M239" s="5">
        <v>60018480</v>
      </c>
      <c r="N239" s="16">
        <v>0.2223</v>
      </c>
      <c r="O239" s="5">
        <v>6451139</v>
      </c>
      <c r="P239" s="5"/>
      <c r="Q239" s="9">
        <v>0.23251707954207779</v>
      </c>
      <c r="R239" s="2">
        <v>1.35</v>
      </c>
      <c r="S239" s="5">
        <v>1111111.111111111</v>
      </c>
      <c r="T239" s="5">
        <v>0</v>
      </c>
      <c r="U239" s="5">
        <v>1500000</v>
      </c>
      <c r="V239" s="5">
        <v>0</v>
      </c>
      <c r="W239" s="5">
        <v>0</v>
      </c>
      <c r="X239" s="5">
        <v>0</v>
      </c>
      <c r="Y239" s="5">
        <v>0</v>
      </c>
      <c r="Z239" s="10">
        <v>0</v>
      </c>
      <c r="AA239" s="10">
        <v>0</v>
      </c>
      <c r="AB239" s="10">
        <v>0</v>
      </c>
      <c r="AC239" s="10">
        <v>0</v>
      </c>
      <c r="AD239" s="11">
        <v>0</v>
      </c>
      <c r="AE239" s="28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1"/>
    </row>
    <row r="240" spans="1:50" x14ac:dyDescent="0.25">
      <c r="A240" s="47" t="s">
        <v>380</v>
      </c>
      <c r="B240" s="47" t="s">
        <v>381</v>
      </c>
      <c r="C240" s="2" t="s">
        <v>31</v>
      </c>
      <c r="D240" s="22" t="s">
        <v>55</v>
      </c>
      <c r="E240" s="64" t="s">
        <v>534</v>
      </c>
      <c r="F240" s="2" t="s">
        <v>41</v>
      </c>
      <c r="G240" s="31" t="s">
        <v>34</v>
      </c>
      <c r="H240" s="2" t="s">
        <v>35</v>
      </c>
      <c r="I240" s="44">
        <v>7</v>
      </c>
      <c r="J240" s="2" t="s">
        <v>368</v>
      </c>
      <c r="K240" s="5">
        <v>400000</v>
      </c>
      <c r="L240" s="5">
        <v>14450000</v>
      </c>
      <c r="M240" s="5">
        <v>33005555</v>
      </c>
      <c r="N240" s="16">
        <v>0.1216</v>
      </c>
      <c r="O240" s="5">
        <v>2256126</v>
      </c>
      <c r="P240" s="5"/>
      <c r="Q240" s="9">
        <v>0.17729506242115911</v>
      </c>
      <c r="R240" s="2">
        <v>1.35</v>
      </c>
      <c r="S240" s="5">
        <v>296296.29629629629</v>
      </c>
      <c r="T240" s="5">
        <v>0</v>
      </c>
      <c r="U240" s="5">
        <v>400000</v>
      </c>
      <c r="V240" s="5">
        <v>0</v>
      </c>
      <c r="W240" s="5">
        <v>0</v>
      </c>
      <c r="X240" s="5">
        <v>0</v>
      </c>
      <c r="Y240" s="5">
        <v>0</v>
      </c>
      <c r="Z240" s="10">
        <v>0</v>
      </c>
      <c r="AA240" s="10">
        <v>0</v>
      </c>
      <c r="AB240" s="10">
        <v>0</v>
      </c>
      <c r="AC240" s="10">
        <v>0</v>
      </c>
      <c r="AD240" s="11">
        <v>0</v>
      </c>
      <c r="AE240" s="28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1"/>
    </row>
    <row r="241" spans="1:50" x14ac:dyDescent="0.25">
      <c r="A241" s="47" t="s">
        <v>382</v>
      </c>
      <c r="B241" s="47" t="s">
        <v>383</v>
      </c>
      <c r="C241" s="63" t="s">
        <v>51</v>
      </c>
      <c r="D241" s="22" t="s">
        <v>98</v>
      </c>
      <c r="E241" s="62" t="s">
        <v>3</v>
      </c>
      <c r="F241" s="2" t="s">
        <v>33</v>
      </c>
      <c r="G241" s="31" t="s">
        <v>34</v>
      </c>
      <c r="H241" s="2" t="s">
        <v>35</v>
      </c>
      <c r="I241" s="44">
        <v>7</v>
      </c>
      <c r="J241" s="2" t="s">
        <v>368</v>
      </c>
      <c r="K241" s="5">
        <v>499836</v>
      </c>
      <c r="L241" s="5">
        <v>30651300</v>
      </c>
      <c r="M241" s="5">
        <v>47996100</v>
      </c>
      <c r="N241" s="16">
        <v>0.16139999999999999</v>
      </c>
      <c r="O241" s="5">
        <v>2799451</v>
      </c>
      <c r="P241" s="5"/>
      <c r="Q241" s="9">
        <v>0.17854786527787059</v>
      </c>
      <c r="R241" s="2">
        <v>1.35</v>
      </c>
      <c r="S241" s="5">
        <v>370248.88888888888</v>
      </c>
      <c r="T241" s="5">
        <v>100000</v>
      </c>
      <c r="U241" s="5">
        <v>149918</v>
      </c>
      <c r="V241" s="5">
        <v>249918</v>
      </c>
      <c r="W241" s="5">
        <v>0</v>
      </c>
      <c r="X241" s="5">
        <v>0</v>
      </c>
      <c r="Y241" s="5">
        <v>0</v>
      </c>
      <c r="Z241" s="10">
        <v>0</v>
      </c>
      <c r="AA241" s="10">
        <v>0</v>
      </c>
      <c r="AB241" s="10">
        <v>0</v>
      </c>
      <c r="AC241" s="10">
        <v>0</v>
      </c>
      <c r="AD241" s="11">
        <v>0</v>
      </c>
      <c r="AE241" s="28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1"/>
    </row>
    <row r="242" spans="1:50" x14ac:dyDescent="0.25">
      <c r="A242" s="47" t="s">
        <v>384</v>
      </c>
      <c r="B242" s="47" t="s">
        <v>385</v>
      </c>
      <c r="C242" s="63" t="s">
        <v>51</v>
      </c>
      <c r="D242" s="22" t="s">
        <v>98</v>
      </c>
      <c r="E242" s="62" t="s">
        <v>3</v>
      </c>
      <c r="F242" s="2" t="s">
        <v>33</v>
      </c>
      <c r="G242" s="2" t="s">
        <v>616</v>
      </c>
      <c r="H242" s="2" t="s">
        <v>103</v>
      </c>
      <c r="I242" s="44">
        <v>7</v>
      </c>
      <c r="J242" s="2" t="s">
        <v>368</v>
      </c>
      <c r="K242" s="5">
        <v>2000000</v>
      </c>
      <c r="L242" s="5">
        <v>17562830</v>
      </c>
      <c r="M242" s="5">
        <v>2704142526</v>
      </c>
      <c r="N242" s="16">
        <v>3.7000000000000002E-3</v>
      </c>
      <c r="O242" s="5">
        <v>9890026</v>
      </c>
      <c r="P242" s="5"/>
      <c r="Q242" s="9">
        <v>0.202223937530599</v>
      </c>
      <c r="R242" s="2">
        <v>1.65</v>
      </c>
      <c r="S242" s="5">
        <v>1212121.2121212119</v>
      </c>
      <c r="T242" s="5">
        <v>0</v>
      </c>
      <c r="U242" s="5">
        <v>2000000</v>
      </c>
      <c r="V242" s="5">
        <v>0</v>
      </c>
      <c r="W242" s="5">
        <v>0</v>
      </c>
      <c r="X242" s="5">
        <v>0</v>
      </c>
      <c r="Y242" s="5">
        <v>0</v>
      </c>
      <c r="Z242" s="10">
        <v>0</v>
      </c>
      <c r="AA242" s="10">
        <v>0</v>
      </c>
      <c r="AB242" s="10">
        <v>0</v>
      </c>
      <c r="AC242" s="10">
        <v>0</v>
      </c>
      <c r="AD242" s="11">
        <v>0</v>
      </c>
      <c r="AE242" s="28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1"/>
    </row>
    <row r="243" spans="1:50" x14ac:dyDescent="0.25">
      <c r="A243" s="47" t="s">
        <v>386</v>
      </c>
      <c r="B243" s="47" t="s">
        <v>110</v>
      </c>
      <c r="C243" s="63" t="s">
        <v>51</v>
      </c>
      <c r="D243" s="22" t="s">
        <v>110</v>
      </c>
      <c r="E243" s="62" t="s">
        <v>3</v>
      </c>
      <c r="F243" s="2" t="s">
        <v>33</v>
      </c>
      <c r="G243" s="31" t="s">
        <v>34</v>
      </c>
      <c r="H243" s="2" t="s">
        <v>35</v>
      </c>
      <c r="I243" s="44">
        <v>7</v>
      </c>
      <c r="J243" s="2" t="s">
        <v>368</v>
      </c>
      <c r="K243" s="5">
        <v>2999999</v>
      </c>
      <c r="L243" s="5">
        <v>140439000</v>
      </c>
      <c r="M243" s="5">
        <v>250923669</v>
      </c>
      <c r="N243" s="16">
        <v>0.14030000000000001</v>
      </c>
      <c r="O243" s="5">
        <v>15500999</v>
      </c>
      <c r="P243" s="5"/>
      <c r="Q243" s="9">
        <v>0.19353584888302999</v>
      </c>
      <c r="R243" s="2">
        <v>1.35</v>
      </c>
      <c r="S243" s="5">
        <v>2222221.4814814809</v>
      </c>
      <c r="T243" s="5">
        <v>1000000</v>
      </c>
      <c r="U243" s="5">
        <v>1999999</v>
      </c>
      <c r="V243" s="5">
        <v>0</v>
      </c>
      <c r="W243" s="5">
        <v>0</v>
      </c>
      <c r="X243" s="5">
        <v>0</v>
      </c>
      <c r="Y243" s="5">
        <v>0</v>
      </c>
      <c r="Z243" s="10">
        <v>0</v>
      </c>
      <c r="AA243" s="10">
        <v>0</v>
      </c>
      <c r="AB243" s="10">
        <v>0</v>
      </c>
      <c r="AC243" s="10">
        <v>0</v>
      </c>
      <c r="AD243" s="11">
        <v>0</v>
      </c>
      <c r="AE243" s="28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1"/>
    </row>
    <row r="244" spans="1:50" x14ac:dyDescent="0.25">
      <c r="A244" s="47" t="s">
        <v>387</v>
      </c>
      <c r="B244" s="47" t="s">
        <v>126</v>
      </c>
      <c r="C244" s="63" t="s">
        <v>51</v>
      </c>
      <c r="D244" s="22" t="s">
        <v>126</v>
      </c>
      <c r="E244" s="62" t="s">
        <v>3</v>
      </c>
      <c r="F244" s="2" t="s">
        <v>33</v>
      </c>
      <c r="G244" s="31" t="s">
        <v>34</v>
      </c>
      <c r="H244" s="2" t="s">
        <v>35</v>
      </c>
      <c r="I244" s="44">
        <v>7</v>
      </c>
      <c r="J244" s="2" t="s">
        <v>368</v>
      </c>
      <c r="K244" s="5">
        <v>1000000</v>
      </c>
      <c r="L244" s="5">
        <v>45304000</v>
      </c>
      <c r="M244" s="5">
        <v>135233293</v>
      </c>
      <c r="N244" s="13">
        <v>7.9200000000000007E-2</v>
      </c>
      <c r="O244" s="5">
        <v>7122400</v>
      </c>
      <c r="P244" s="5"/>
      <c r="Q244" s="9">
        <v>0.1404021116477592</v>
      </c>
      <c r="R244" s="2">
        <v>1.35</v>
      </c>
      <c r="S244" s="5">
        <v>740740.74074074067</v>
      </c>
      <c r="T244" s="5">
        <v>193624</v>
      </c>
      <c r="U244" s="5">
        <v>806376</v>
      </c>
      <c r="V244" s="5">
        <v>0</v>
      </c>
      <c r="W244" s="5">
        <v>0</v>
      </c>
      <c r="X244" s="5">
        <v>0</v>
      </c>
      <c r="Y244" s="5">
        <v>0</v>
      </c>
      <c r="Z244" s="10">
        <v>0</v>
      </c>
      <c r="AA244" s="10">
        <v>0</v>
      </c>
      <c r="AB244" s="10">
        <v>0</v>
      </c>
      <c r="AC244" s="10">
        <v>0</v>
      </c>
      <c r="AD244" s="11">
        <v>0</v>
      </c>
      <c r="AE244" s="28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1"/>
    </row>
    <row r="245" spans="1:50" x14ac:dyDescent="0.25">
      <c r="A245" s="47" t="s">
        <v>388</v>
      </c>
      <c r="B245" s="47" t="s">
        <v>85</v>
      </c>
      <c r="C245" s="63" t="s">
        <v>51</v>
      </c>
      <c r="D245" s="22" t="s">
        <v>85</v>
      </c>
      <c r="E245" s="62" t="s">
        <v>3</v>
      </c>
      <c r="F245" s="2" t="s">
        <v>33</v>
      </c>
      <c r="G245" s="31" t="s">
        <v>34</v>
      </c>
      <c r="H245" s="2" t="s">
        <v>35</v>
      </c>
      <c r="I245" s="44">
        <v>7</v>
      </c>
      <c r="J245" s="2" t="s">
        <v>368</v>
      </c>
      <c r="K245" s="5">
        <v>2500000</v>
      </c>
      <c r="L245" s="5">
        <v>157073000</v>
      </c>
      <c r="M245" s="5">
        <v>298552538</v>
      </c>
      <c r="N245" s="13">
        <v>9.5299999999999996E-2</v>
      </c>
      <c r="O245" s="5">
        <v>13483000</v>
      </c>
      <c r="P245" s="5"/>
      <c r="Q245" s="9">
        <v>0.18541867536898321</v>
      </c>
      <c r="R245" s="2">
        <v>1.35</v>
      </c>
      <c r="S245" s="5">
        <v>1851851.8518518519</v>
      </c>
      <c r="T245" s="5">
        <v>500000</v>
      </c>
      <c r="U245" s="5">
        <v>2000000</v>
      </c>
      <c r="V245" s="5">
        <v>0</v>
      </c>
      <c r="W245" s="5">
        <v>0</v>
      </c>
      <c r="X245" s="5">
        <v>0</v>
      </c>
      <c r="Y245" s="5">
        <v>0</v>
      </c>
      <c r="Z245" s="10">
        <v>0</v>
      </c>
      <c r="AA245" s="10">
        <v>0</v>
      </c>
      <c r="AB245" s="10">
        <v>0</v>
      </c>
      <c r="AC245" s="10">
        <v>0</v>
      </c>
      <c r="AD245" s="11">
        <v>0</v>
      </c>
      <c r="AE245" s="28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1"/>
    </row>
    <row r="246" spans="1:50" x14ac:dyDescent="0.25">
      <c r="A246" s="47" t="s">
        <v>389</v>
      </c>
      <c r="B246" s="47" t="s">
        <v>390</v>
      </c>
      <c r="C246" s="63" t="s">
        <v>51</v>
      </c>
      <c r="D246" s="22" t="s">
        <v>85</v>
      </c>
      <c r="E246" s="64" t="s">
        <v>534</v>
      </c>
      <c r="F246" s="2" t="s">
        <v>41</v>
      </c>
      <c r="G246" s="31" t="s">
        <v>34</v>
      </c>
      <c r="H246" s="2" t="s">
        <v>35</v>
      </c>
      <c r="I246" s="44">
        <v>7</v>
      </c>
      <c r="J246" s="2" t="s">
        <v>368</v>
      </c>
      <c r="K246" s="5">
        <v>2000000</v>
      </c>
      <c r="L246" s="5">
        <v>157073000</v>
      </c>
      <c r="M246" s="5">
        <v>298552538</v>
      </c>
      <c r="N246" s="13">
        <v>7.6200000000000004E-2</v>
      </c>
      <c r="O246" s="5">
        <f>(M246-L246)*(N246)</f>
        <v>10780740.795600001</v>
      </c>
      <c r="P246" s="5"/>
      <c r="Q246" s="9">
        <v>0.18551600840048679</v>
      </c>
      <c r="R246" s="2">
        <v>1.35</v>
      </c>
      <c r="S246" s="5">
        <v>1481481.4814814811</v>
      </c>
      <c r="T246" s="5">
        <v>0</v>
      </c>
      <c r="U246" s="5">
        <v>2000000</v>
      </c>
      <c r="V246" s="5">
        <v>0</v>
      </c>
      <c r="W246" s="5">
        <v>0</v>
      </c>
      <c r="X246" s="5">
        <v>0</v>
      </c>
      <c r="Y246" s="5">
        <v>0</v>
      </c>
      <c r="Z246" s="10">
        <v>0</v>
      </c>
      <c r="AA246" s="10">
        <v>0</v>
      </c>
      <c r="AB246" s="10">
        <v>0</v>
      </c>
      <c r="AC246" s="10">
        <v>0</v>
      </c>
      <c r="AD246" s="11">
        <v>0</v>
      </c>
      <c r="AE246" s="28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1"/>
    </row>
    <row r="247" spans="1:50" x14ac:dyDescent="0.25">
      <c r="A247" s="47" t="s">
        <v>391</v>
      </c>
      <c r="B247" s="47" t="s">
        <v>191</v>
      </c>
      <c r="C247" s="2" t="s">
        <v>31</v>
      </c>
      <c r="D247" s="22" t="s">
        <v>55</v>
      </c>
      <c r="E247" s="62" t="s">
        <v>3</v>
      </c>
      <c r="F247" s="2" t="s">
        <v>33</v>
      </c>
      <c r="G247" s="31" t="s">
        <v>34</v>
      </c>
      <c r="H247" s="2" t="s">
        <v>35</v>
      </c>
      <c r="I247" s="44">
        <v>6</v>
      </c>
      <c r="J247" s="2" t="s">
        <v>392</v>
      </c>
      <c r="K247" s="5">
        <v>200084</v>
      </c>
      <c r="L247" s="5">
        <v>21899000</v>
      </c>
      <c r="M247" s="5">
        <v>35377815</v>
      </c>
      <c r="N247" s="13">
        <v>0.13070000000000001</v>
      </c>
      <c r="O247" s="5">
        <v>1761681</v>
      </c>
      <c r="P247" s="5"/>
      <c r="Q247" s="9">
        <v>0.1135756132920773</v>
      </c>
      <c r="R247" s="2">
        <v>1.25</v>
      </c>
      <c r="S247" s="5">
        <v>160067.20000000001</v>
      </c>
      <c r="T247" s="5">
        <v>0</v>
      </c>
      <c r="U247" s="5">
        <v>0</v>
      </c>
      <c r="V247" s="5">
        <v>200084</v>
      </c>
      <c r="W247" s="5">
        <v>0</v>
      </c>
      <c r="X247" s="5">
        <v>0</v>
      </c>
      <c r="Y247" s="5">
        <v>0</v>
      </c>
      <c r="Z247" s="10">
        <v>0</v>
      </c>
      <c r="AA247" s="10">
        <v>0</v>
      </c>
      <c r="AB247" s="10">
        <v>0</v>
      </c>
      <c r="AC247" s="10">
        <v>0</v>
      </c>
      <c r="AD247" s="11">
        <v>0</v>
      </c>
      <c r="AE247" s="28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1"/>
    </row>
    <row r="248" spans="1:50" x14ac:dyDescent="0.25">
      <c r="A248" s="47" t="s">
        <v>393</v>
      </c>
      <c r="B248" s="47" t="s">
        <v>44</v>
      </c>
      <c r="C248" s="2" t="s">
        <v>31</v>
      </c>
      <c r="D248" s="22" t="s">
        <v>44</v>
      </c>
      <c r="E248" s="62" t="s">
        <v>3</v>
      </c>
      <c r="F248" s="2" t="s">
        <v>33</v>
      </c>
      <c r="G248" s="31" t="s">
        <v>34</v>
      </c>
      <c r="H248" s="2" t="s">
        <v>35</v>
      </c>
      <c r="I248" s="44">
        <v>6</v>
      </c>
      <c r="J248" s="2" t="s">
        <v>392</v>
      </c>
      <c r="K248" s="5">
        <v>2150020</v>
      </c>
      <c r="L248" s="5">
        <v>10020000</v>
      </c>
      <c r="M248" s="5">
        <v>37700000</v>
      </c>
      <c r="N248" s="13">
        <v>0.54190000000000005</v>
      </c>
      <c r="O248" s="5">
        <v>15000000</v>
      </c>
      <c r="P248" s="5"/>
      <c r="Q248" s="9">
        <v>0.14333466666666669</v>
      </c>
      <c r="R248" s="2">
        <v>1.35</v>
      </c>
      <c r="S248" s="5">
        <v>1592607.407407407</v>
      </c>
      <c r="T248" s="5">
        <v>2150020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10">
        <v>0</v>
      </c>
      <c r="AA248" s="10">
        <v>0</v>
      </c>
      <c r="AB248" s="10">
        <v>0</v>
      </c>
      <c r="AC248" s="10">
        <v>0</v>
      </c>
      <c r="AD248" s="11">
        <v>0</v>
      </c>
      <c r="AE248" s="28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1"/>
    </row>
    <row r="249" spans="1:50" x14ac:dyDescent="0.25">
      <c r="A249" s="47" t="s">
        <v>394</v>
      </c>
      <c r="B249" s="47" t="s">
        <v>330</v>
      </c>
      <c r="C249" s="63" t="s">
        <v>31</v>
      </c>
      <c r="D249" s="22" t="s">
        <v>32</v>
      </c>
      <c r="E249" s="62" t="s">
        <v>3</v>
      </c>
      <c r="F249" s="2" t="s">
        <v>33</v>
      </c>
      <c r="G249" s="31" t="s">
        <v>34</v>
      </c>
      <c r="H249" s="2" t="s">
        <v>35</v>
      </c>
      <c r="I249" s="44">
        <v>6</v>
      </c>
      <c r="J249" s="2" t="s">
        <v>392</v>
      </c>
      <c r="K249" s="5">
        <v>427011</v>
      </c>
      <c r="L249" s="5">
        <v>15350000</v>
      </c>
      <c r="M249" s="5">
        <v>42340553</v>
      </c>
      <c r="N249" s="13">
        <v>0.1482</v>
      </c>
      <c r="O249" s="5">
        <v>4000000</v>
      </c>
      <c r="P249" s="5">
        <v>738540</v>
      </c>
      <c r="Q249" s="9">
        <v>0.10675274999999999</v>
      </c>
      <c r="R249" s="2">
        <v>1.35</v>
      </c>
      <c r="S249" s="5">
        <v>316304.44444444438</v>
      </c>
      <c r="T249" s="5">
        <v>427011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10">
        <v>0</v>
      </c>
      <c r="AA249" s="10">
        <v>0</v>
      </c>
      <c r="AB249" s="10">
        <v>0</v>
      </c>
      <c r="AC249" s="10">
        <v>0</v>
      </c>
      <c r="AD249" s="11">
        <v>0</v>
      </c>
      <c r="AE249" s="28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1"/>
    </row>
    <row r="250" spans="1:50" x14ac:dyDescent="0.25">
      <c r="A250" s="47" t="s">
        <v>395</v>
      </c>
      <c r="B250" s="47" t="s">
        <v>333</v>
      </c>
      <c r="C250" s="63" t="s">
        <v>31</v>
      </c>
      <c r="D250" s="22" t="s">
        <v>32</v>
      </c>
      <c r="E250" s="62" t="s">
        <v>3</v>
      </c>
      <c r="F250" s="2" t="s">
        <v>33</v>
      </c>
      <c r="G250" s="31" t="s">
        <v>34</v>
      </c>
      <c r="H250" s="2" t="s">
        <v>35</v>
      </c>
      <c r="I250" s="44">
        <v>6</v>
      </c>
      <c r="J250" s="2" t="s">
        <v>392</v>
      </c>
      <c r="K250" s="5">
        <v>573301</v>
      </c>
      <c r="L250" s="5">
        <v>12400000</v>
      </c>
      <c r="M250" s="5">
        <v>39390553</v>
      </c>
      <c r="N250" s="13">
        <v>0.1482</v>
      </c>
      <c r="O250" s="5">
        <v>4000000</v>
      </c>
      <c r="P250" s="5"/>
      <c r="Q250" s="9">
        <v>0.14332524999999999</v>
      </c>
      <c r="R250" s="2">
        <v>1.35</v>
      </c>
      <c r="S250" s="5">
        <v>424667.40740740742</v>
      </c>
      <c r="T250" s="5">
        <v>573301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10">
        <v>0</v>
      </c>
      <c r="AA250" s="10">
        <v>0</v>
      </c>
      <c r="AB250" s="10">
        <v>0</v>
      </c>
      <c r="AC250" s="10">
        <v>0</v>
      </c>
      <c r="AD250" s="11">
        <v>0</v>
      </c>
      <c r="AE250" s="28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1"/>
    </row>
    <row r="251" spans="1:50" x14ac:dyDescent="0.25">
      <c r="A251" s="47" t="s">
        <v>396</v>
      </c>
      <c r="B251" s="47" t="s">
        <v>373</v>
      </c>
      <c r="C251" s="2" t="s">
        <v>31</v>
      </c>
      <c r="D251" s="22" t="s">
        <v>218</v>
      </c>
      <c r="E251" s="62" t="s">
        <v>3</v>
      </c>
      <c r="F251" s="2" t="s">
        <v>33</v>
      </c>
      <c r="G251" s="31" t="s">
        <v>34</v>
      </c>
      <c r="H251" s="2" t="s">
        <v>35</v>
      </c>
      <c r="I251" s="44">
        <v>6</v>
      </c>
      <c r="J251" s="2" t="s">
        <v>392</v>
      </c>
      <c r="K251" s="5">
        <v>167689</v>
      </c>
      <c r="L251" s="5">
        <v>72707000</v>
      </c>
      <c r="M251" s="5">
        <v>296871400</v>
      </c>
      <c r="N251" s="13">
        <v>5.8999999999999999E-3</v>
      </c>
      <c r="O251" s="5">
        <v>1322570</v>
      </c>
      <c r="P251" s="5"/>
      <c r="Q251" s="9">
        <v>0.12679026440944521</v>
      </c>
      <c r="R251" s="2">
        <v>1.35</v>
      </c>
      <c r="S251" s="5">
        <v>124214.0740740741</v>
      </c>
      <c r="T251" s="5">
        <v>167689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10">
        <v>0</v>
      </c>
      <c r="AA251" s="10">
        <v>0</v>
      </c>
      <c r="AB251" s="10">
        <v>0</v>
      </c>
      <c r="AC251" s="10">
        <v>0</v>
      </c>
      <c r="AD251" s="11">
        <v>0</v>
      </c>
      <c r="AE251" s="28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1"/>
    </row>
    <row r="252" spans="1:50" x14ac:dyDescent="0.25">
      <c r="A252" s="47" t="s">
        <v>397</v>
      </c>
      <c r="B252" s="47" t="s">
        <v>398</v>
      </c>
      <c r="C252" s="63" t="s">
        <v>31</v>
      </c>
      <c r="D252" s="22" t="s">
        <v>185</v>
      </c>
      <c r="E252" s="62" t="s">
        <v>3</v>
      </c>
      <c r="F252" s="2" t="s">
        <v>33</v>
      </c>
      <c r="G252" s="31" t="s">
        <v>34</v>
      </c>
      <c r="H252" s="2" t="s">
        <v>35</v>
      </c>
      <c r="I252" s="44">
        <v>6</v>
      </c>
      <c r="J252" s="2" t="s">
        <v>392</v>
      </c>
      <c r="K252" s="5">
        <v>3094542</v>
      </c>
      <c r="L252" s="5">
        <v>16595000</v>
      </c>
      <c r="M252" s="5">
        <v>67425000</v>
      </c>
      <c r="N252" s="13">
        <v>0.39350000000000002</v>
      </c>
      <c r="O252" s="5">
        <v>20000000</v>
      </c>
      <c r="P252" s="5">
        <v>12522508</v>
      </c>
      <c r="Q252" s="9">
        <v>0.15472710000000001</v>
      </c>
      <c r="R252" s="2">
        <v>1.35</v>
      </c>
      <c r="S252" s="5">
        <v>2292253.333333333</v>
      </c>
      <c r="T252" s="5">
        <v>3094542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10">
        <v>0</v>
      </c>
      <c r="AA252" s="10">
        <v>0</v>
      </c>
      <c r="AB252" s="10">
        <v>0</v>
      </c>
      <c r="AC252" s="10">
        <v>0</v>
      </c>
      <c r="AD252" s="11">
        <v>0</v>
      </c>
      <c r="AE252" s="28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1"/>
    </row>
    <row r="253" spans="1:50" x14ac:dyDescent="0.25">
      <c r="A253" s="47" t="s">
        <v>399</v>
      </c>
      <c r="B253" s="47" t="s">
        <v>196</v>
      </c>
      <c r="C253" s="63" t="s">
        <v>31</v>
      </c>
      <c r="D253" s="22" t="s">
        <v>196</v>
      </c>
      <c r="E253" s="62" t="s">
        <v>3</v>
      </c>
      <c r="F253" s="2" t="s">
        <v>33</v>
      </c>
      <c r="G253" s="31" t="s">
        <v>34</v>
      </c>
      <c r="H253" s="2" t="s">
        <v>35</v>
      </c>
      <c r="I253" s="44">
        <v>6</v>
      </c>
      <c r="J253" s="2" t="s">
        <v>392</v>
      </c>
      <c r="K253" s="5">
        <v>200000</v>
      </c>
      <c r="L253" s="5">
        <v>19910000</v>
      </c>
      <c r="M253" s="5">
        <v>35216122</v>
      </c>
      <c r="N253" s="13">
        <v>7.8399999999999997E-2</v>
      </c>
      <c r="O253" s="5">
        <v>1200000</v>
      </c>
      <c r="P253" s="5"/>
      <c r="Q253" s="9">
        <v>0.16666666666666671</v>
      </c>
      <c r="R253" s="2">
        <v>1.35</v>
      </c>
      <c r="S253" s="5">
        <v>148148.14814814809</v>
      </c>
      <c r="T253" s="5">
        <v>200000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10">
        <v>0</v>
      </c>
      <c r="AA253" s="10">
        <v>0</v>
      </c>
      <c r="AB253" s="10">
        <v>0</v>
      </c>
      <c r="AC253" s="10">
        <v>0</v>
      </c>
      <c r="AD253" s="11">
        <v>0</v>
      </c>
      <c r="AE253" s="28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1"/>
    </row>
    <row r="254" spans="1:50" x14ac:dyDescent="0.25">
      <c r="A254" s="47" t="s">
        <v>400</v>
      </c>
      <c r="B254" s="47" t="s">
        <v>85</v>
      </c>
      <c r="C254" s="63" t="s">
        <v>51</v>
      </c>
      <c r="D254" s="22" t="s">
        <v>85</v>
      </c>
      <c r="E254" s="62" t="s">
        <v>3</v>
      </c>
      <c r="F254" s="2" t="s">
        <v>33</v>
      </c>
      <c r="G254" s="31" t="s">
        <v>34</v>
      </c>
      <c r="H254" s="2" t="s">
        <v>35</v>
      </c>
      <c r="I254" s="44">
        <v>6</v>
      </c>
      <c r="J254" s="2" t="s">
        <v>392</v>
      </c>
      <c r="K254" s="5">
        <v>1003571</v>
      </c>
      <c r="L254" s="5">
        <v>115181000</v>
      </c>
      <c r="M254" s="5">
        <v>373425840</v>
      </c>
      <c r="N254" s="13">
        <v>2.07E-2</v>
      </c>
      <c r="O254" s="5">
        <v>5345668</v>
      </c>
      <c r="P254" s="5">
        <v>1465602</v>
      </c>
      <c r="Q254" s="9">
        <v>0.18773537750567379</v>
      </c>
      <c r="R254" s="2">
        <v>1.35</v>
      </c>
      <c r="S254" s="5">
        <v>743385.92592592584</v>
      </c>
      <c r="T254" s="5">
        <v>1003571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10">
        <v>0</v>
      </c>
      <c r="AA254" s="10">
        <v>0</v>
      </c>
      <c r="AB254" s="10">
        <v>0</v>
      </c>
      <c r="AC254" s="10">
        <v>0</v>
      </c>
      <c r="AD254" s="11">
        <v>0</v>
      </c>
      <c r="AE254" s="28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1"/>
    </row>
    <row r="255" spans="1:50" x14ac:dyDescent="0.25">
      <c r="A255" s="47" t="s">
        <v>401</v>
      </c>
      <c r="B255" s="47" t="s">
        <v>98</v>
      </c>
      <c r="C255" s="63" t="s">
        <v>51</v>
      </c>
      <c r="D255" s="22" t="s">
        <v>98</v>
      </c>
      <c r="E255" s="62" t="s">
        <v>3</v>
      </c>
      <c r="F255" s="2" t="s">
        <v>33</v>
      </c>
      <c r="G255" s="31" t="s">
        <v>34</v>
      </c>
      <c r="H255" s="2" t="s">
        <v>35</v>
      </c>
      <c r="I255" s="44">
        <v>6</v>
      </c>
      <c r="J255" s="2" t="s">
        <v>392</v>
      </c>
      <c r="K255" s="5">
        <v>499808</v>
      </c>
      <c r="L255" s="5">
        <v>21900000</v>
      </c>
      <c r="M255" s="5">
        <v>47996033</v>
      </c>
      <c r="N255" s="13">
        <v>9.5799999999999996E-2</v>
      </c>
      <c r="O255" s="5">
        <v>2500000</v>
      </c>
      <c r="P255" s="5">
        <v>2126803</v>
      </c>
      <c r="Q255" s="9">
        <v>0.1999232</v>
      </c>
      <c r="R255" s="2">
        <v>1.35</v>
      </c>
      <c r="S255" s="5">
        <v>370228.14814814809</v>
      </c>
      <c r="T255" s="5">
        <v>0</v>
      </c>
      <c r="U255" s="5">
        <v>0</v>
      </c>
      <c r="V255" s="5">
        <v>499808</v>
      </c>
      <c r="W255" s="5">
        <v>0</v>
      </c>
      <c r="X255" s="5">
        <v>0</v>
      </c>
      <c r="Y255" s="5">
        <v>0</v>
      </c>
      <c r="Z255" s="10">
        <v>0</v>
      </c>
      <c r="AA255" s="10">
        <v>0</v>
      </c>
      <c r="AB255" s="10">
        <v>0</v>
      </c>
      <c r="AC255" s="10">
        <v>0</v>
      </c>
      <c r="AD255" s="11">
        <v>0</v>
      </c>
      <c r="AE255" s="28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1"/>
    </row>
    <row r="256" spans="1:50" x14ac:dyDescent="0.25">
      <c r="A256" s="47" t="s">
        <v>402</v>
      </c>
      <c r="B256" s="47" t="s">
        <v>65</v>
      </c>
      <c r="C256" s="63" t="s">
        <v>31</v>
      </c>
      <c r="D256" s="22" t="s">
        <v>65</v>
      </c>
      <c r="E256" s="62" t="s">
        <v>3</v>
      </c>
      <c r="F256" s="2" t="s">
        <v>33</v>
      </c>
      <c r="G256" s="31" t="s">
        <v>34</v>
      </c>
      <c r="H256" s="2" t="s">
        <v>35</v>
      </c>
      <c r="I256" s="44">
        <v>6</v>
      </c>
      <c r="J256" s="2" t="s">
        <v>392</v>
      </c>
      <c r="K256" s="5">
        <v>499924</v>
      </c>
      <c r="L256" s="5">
        <v>19429000</v>
      </c>
      <c r="M256" s="5">
        <v>42064815</v>
      </c>
      <c r="N256" s="13">
        <v>0.1988</v>
      </c>
      <c r="O256" s="5">
        <v>4500000</v>
      </c>
      <c r="P256" s="5"/>
      <c r="Q256" s="9">
        <v>0.11109422222222221</v>
      </c>
      <c r="R256" s="2">
        <v>1.35</v>
      </c>
      <c r="S256" s="5">
        <v>370314.07407407399</v>
      </c>
      <c r="T256" s="5">
        <v>499924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10">
        <v>0</v>
      </c>
      <c r="AA256" s="10">
        <v>0</v>
      </c>
      <c r="AB256" s="10">
        <v>0</v>
      </c>
      <c r="AC256" s="10">
        <v>0</v>
      </c>
      <c r="AD256" s="11">
        <v>0</v>
      </c>
      <c r="AE256" s="28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1"/>
    </row>
    <row r="257" spans="1:50" x14ac:dyDescent="0.25">
      <c r="A257" s="47" t="s">
        <v>403</v>
      </c>
      <c r="B257" s="47" t="s">
        <v>337</v>
      </c>
      <c r="C257" s="63" t="s">
        <v>31</v>
      </c>
      <c r="D257" s="22" t="s">
        <v>40</v>
      </c>
      <c r="E257" s="64" t="s">
        <v>534</v>
      </c>
      <c r="F257" s="2" t="s">
        <v>41</v>
      </c>
      <c r="G257" s="31" t="s">
        <v>34</v>
      </c>
      <c r="H257" s="2" t="s">
        <v>35</v>
      </c>
      <c r="I257" s="44">
        <v>6</v>
      </c>
      <c r="J257" s="2" t="s">
        <v>392</v>
      </c>
      <c r="K257" s="5">
        <v>683034</v>
      </c>
      <c r="L257" s="5">
        <v>24750000</v>
      </c>
      <c r="M257" s="5">
        <v>226479107</v>
      </c>
      <c r="N257" s="13">
        <v>3.4700000000000002E-2</v>
      </c>
      <c r="O257" s="5">
        <v>7000000</v>
      </c>
      <c r="P257" s="5"/>
      <c r="Q257" s="9">
        <v>9.7576285714285713E-2</v>
      </c>
      <c r="R257" s="2">
        <v>1.35</v>
      </c>
      <c r="S257" s="5">
        <v>505951.11111111112</v>
      </c>
      <c r="T257" s="5">
        <v>0</v>
      </c>
      <c r="U257" s="5">
        <v>683034</v>
      </c>
      <c r="V257" s="5">
        <v>0</v>
      </c>
      <c r="W257" s="5">
        <v>0</v>
      </c>
      <c r="X257" s="5">
        <v>0</v>
      </c>
      <c r="Y257" s="5">
        <v>0</v>
      </c>
      <c r="Z257" s="10">
        <v>0</v>
      </c>
      <c r="AA257" s="10">
        <v>0</v>
      </c>
      <c r="AB257" s="10">
        <v>0</v>
      </c>
      <c r="AC257" s="10">
        <v>0</v>
      </c>
      <c r="AD257" s="11">
        <v>0</v>
      </c>
      <c r="AE257" s="28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1"/>
    </row>
    <row r="258" spans="1:50" ht="15.75" thickBot="1" x14ac:dyDescent="0.3">
      <c r="A258" s="47" t="s">
        <v>404</v>
      </c>
      <c r="B258" s="47" t="s">
        <v>339</v>
      </c>
      <c r="C258" s="2" t="s">
        <v>31</v>
      </c>
      <c r="D258" s="22" t="s">
        <v>44</v>
      </c>
      <c r="E258" s="64" t="s">
        <v>534</v>
      </c>
      <c r="F258" s="2" t="s">
        <v>41</v>
      </c>
      <c r="G258" s="31" t="s">
        <v>34</v>
      </c>
      <c r="H258" s="2" t="s">
        <v>35</v>
      </c>
      <c r="I258" s="44">
        <v>6</v>
      </c>
      <c r="J258" s="2" t="s">
        <v>392</v>
      </c>
      <c r="K258" s="17">
        <v>1817080</v>
      </c>
      <c r="L258" s="17">
        <v>10020000</v>
      </c>
      <c r="M258" s="17">
        <v>37700000</v>
      </c>
      <c r="N258" s="18">
        <v>0.45800000000000002</v>
      </c>
      <c r="O258" s="17">
        <v>12677009</v>
      </c>
      <c r="P258" s="5"/>
      <c r="Q258" s="9">
        <v>0.1433366498359353</v>
      </c>
      <c r="R258" s="2">
        <v>1.35</v>
      </c>
      <c r="S258" s="5">
        <v>1345985.1851851849</v>
      </c>
      <c r="T258" s="5">
        <v>0</v>
      </c>
      <c r="U258" s="5">
        <v>1817080</v>
      </c>
      <c r="V258" s="5">
        <v>0</v>
      </c>
      <c r="W258" s="5">
        <v>0</v>
      </c>
      <c r="X258" s="5">
        <v>0</v>
      </c>
      <c r="Y258" s="5">
        <v>0</v>
      </c>
      <c r="Z258" s="10">
        <v>0</v>
      </c>
      <c r="AA258" s="10">
        <v>0</v>
      </c>
      <c r="AB258" s="10">
        <v>0</v>
      </c>
      <c r="AC258" s="10">
        <v>0</v>
      </c>
      <c r="AD258" s="11">
        <v>0</v>
      </c>
      <c r="AE258" s="28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1"/>
    </row>
    <row r="259" spans="1:50" x14ac:dyDescent="0.25">
      <c r="A259" s="47" t="s">
        <v>405</v>
      </c>
      <c r="B259" s="47" t="s">
        <v>379</v>
      </c>
      <c r="C259" s="2" t="s">
        <v>31</v>
      </c>
      <c r="D259" s="22" t="s">
        <v>47</v>
      </c>
      <c r="E259" s="64" t="s">
        <v>534</v>
      </c>
      <c r="F259" s="2" t="s">
        <v>41</v>
      </c>
      <c r="G259" s="31" t="s">
        <v>34</v>
      </c>
      <c r="H259" s="2" t="s">
        <v>35</v>
      </c>
      <c r="I259" s="44">
        <v>6</v>
      </c>
      <c r="J259" s="2" t="s">
        <v>392</v>
      </c>
      <c r="K259" s="5">
        <v>1500000</v>
      </c>
      <c r="L259" s="5">
        <v>15700000</v>
      </c>
      <c r="M259" s="5">
        <v>58871940</v>
      </c>
      <c r="N259" s="13">
        <v>0.21440000000000001</v>
      </c>
      <c r="O259" s="5">
        <v>9256528</v>
      </c>
      <c r="P259" s="5">
        <v>167133</v>
      </c>
      <c r="Q259" s="9">
        <v>0.16204780021191531</v>
      </c>
      <c r="R259" s="2">
        <v>1.35</v>
      </c>
      <c r="S259" s="5">
        <v>1111111.111111111</v>
      </c>
      <c r="T259" s="5">
        <v>0</v>
      </c>
      <c r="U259" s="5">
        <v>1500000</v>
      </c>
      <c r="V259" s="5">
        <v>0</v>
      </c>
      <c r="W259" s="5">
        <v>0</v>
      </c>
      <c r="X259" s="5">
        <v>0</v>
      </c>
      <c r="Y259" s="5">
        <v>0</v>
      </c>
      <c r="Z259" s="10">
        <v>0</v>
      </c>
      <c r="AA259" s="10">
        <v>0</v>
      </c>
      <c r="AB259" s="10">
        <v>0</v>
      </c>
      <c r="AC259" s="10">
        <v>0</v>
      </c>
      <c r="AD259" s="11">
        <v>0</v>
      </c>
      <c r="AE259" s="28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1"/>
    </row>
    <row r="260" spans="1:50" x14ac:dyDescent="0.25">
      <c r="A260" s="47" t="s">
        <v>406</v>
      </c>
      <c r="B260" s="47" t="s">
        <v>341</v>
      </c>
      <c r="C260" s="63" t="s">
        <v>31</v>
      </c>
      <c r="D260" s="22" t="s">
        <v>185</v>
      </c>
      <c r="E260" s="64" t="s">
        <v>534</v>
      </c>
      <c r="F260" s="2" t="s">
        <v>41</v>
      </c>
      <c r="G260" s="31" t="s">
        <v>34</v>
      </c>
      <c r="H260" s="2" t="s">
        <v>35</v>
      </c>
      <c r="I260" s="44">
        <v>6</v>
      </c>
      <c r="J260" s="2" t="s">
        <v>392</v>
      </c>
      <c r="K260" s="5">
        <v>2633508</v>
      </c>
      <c r="L260" s="5">
        <v>16595000</v>
      </c>
      <c r="M260" s="5">
        <v>67425000</v>
      </c>
      <c r="N260" s="13">
        <v>0.33489999999999998</v>
      </c>
      <c r="O260" s="5">
        <v>17022967</v>
      </c>
      <c r="P260" s="5">
        <v>10657657</v>
      </c>
      <c r="Q260" s="9">
        <v>0.15470323122872759</v>
      </c>
      <c r="R260" s="2">
        <v>1.35</v>
      </c>
      <c r="S260" s="5">
        <v>1950746.666666667</v>
      </c>
      <c r="T260" s="5">
        <v>0</v>
      </c>
      <c r="U260" s="5">
        <v>2633508</v>
      </c>
      <c r="V260" s="5">
        <v>0</v>
      </c>
      <c r="W260" s="5">
        <v>0</v>
      </c>
      <c r="X260" s="5">
        <v>0</v>
      </c>
      <c r="Y260" s="5">
        <v>0</v>
      </c>
      <c r="Z260" s="10">
        <v>0</v>
      </c>
      <c r="AA260" s="10">
        <v>0</v>
      </c>
      <c r="AB260" s="10">
        <v>0</v>
      </c>
      <c r="AC260" s="10">
        <v>0</v>
      </c>
      <c r="AD260" s="11">
        <v>0</v>
      </c>
      <c r="AE260" s="28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1"/>
    </row>
    <row r="261" spans="1:50" x14ac:dyDescent="0.25">
      <c r="A261" s="47" t="s">
        <v>407</v>
      </c>
      <c r="B261" s="47" t="s">
        <v>390</v>
      </c>
      <c r="C261" s="63" t="s">
        <v>51</v>
      </c>
      <c r="D261" s="22" t="s">
        <v>85</v>
      </c>
      <c r="E261" s="64" t="s">
        <v>534</v>
      </c>
      <c r="F261" s="2" t="s">
        <v>41</v>
      </c>
      <c r="G261" s="31" t="s">
        <v>34</v>
      </c>
      <c r="H261" s="2" t="s">
        <v>35</v>
      </c>
      <c r="I261" s="44">
        <v>6</v>
      </c>
      <c r="J261" s="2" t="s">
        <v>392</v>
      </c>
      <c r="K261" s="5">
        <v>200000</v>
      </c>
      <c r="L261" s="5">
        <v>115181000</v>
      </c>
      <c r="M261" s="5">
        <v>373425840</v>
      </c>
      <c r="N261" s="13">
        <v>4.1000000000000003E-3</v>
      </c>
      <c r="O261" s="5">
        <v>1065329</v>
      </c>
      <c r="P261" s="5">
        <v>290288</v>
      </c>
      <c r="Q261" s="9">
        <v>0.1877354319651488</v>
      </c>
      <c r="R261" s="2">
        <v>1.35</v>
      </c>
      <c r="S261" s="5">
        <v>148148.14814814809</v>
      </c>
      <c r="T261" s="5">
        <v>0</v>
      </c>
      <c r="U261" s="5">
        <v>200000</v>
      </c>
      <c r="V261" s="5">
        <v>0</v>
      </c>
      <c r="W261" s="5">
        <v>0</v>
      </c>
      <c r="X261" s="5">
        <v>0</v>
      </c>
      <c r="Y261" s="5">
        <v>0</v>
      </c>
      <c r="Z261" s="10">
        <v>0</v>
      </c>
      <c r="AA261" s="10">
        <v>0</v>
      </c>
      <c r="AB261" s="10">
        <v>0</v>
      </c>
      <c r="AC261" s="10">
        <v>0</v>
      </c>
      <c r="AD261" s="11">
        <v>0</v>
      </c>
      <c r="AE261" s="28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1"/>
    </row>
    <row r="262" spans="1:50" x14ac:dyDescent="0.25">
      <c r="A262" s="47" t="s">
        <v>408</v>
      </c>
      <c r="B262" s="47" t="s">
        <v>381</v>
      </c>
      <c r="C262" s="2" t="s">
        <v>31</v>
      </c>
      <c r="D262" s="22" t="s">
        <v>55</v>
      </c>
      <c r="E262" s="64" t="s">
        <v>534</v>
      </c>
      <c r="F262" s="2" t="s">
        <v>41</v>
      </c>
      <c r="G262" s="31" t="s">
        <v>34</v>
      </c>
      <c r="H262" s="2" t="s">
        <v>35</v>
      </c>
      <c r="I262" s="44">
        <v>6</v>
      </c>
      <c r="J262" s="2" t="s">
        <v>392</v>
      </c>
      <c r="K262" s="5">
        <v>400015</v>
      </c>
      <c r="L262" s="5">
        <v>21899000</v>
      </c>
      <c r="M262" s="5">
        <v>35377815</v>
      </c>
      <c r="N262" s="13">
        <v>0.26129999999999998</v>
      </c>
      <c r="O262" s="5">
        <v>3522014</v>
      </c>
      <c r="P262" s="5"/>
      <c r="Q262" s="9">
        <v>0.113575641664116</v>
      </c>
      <c r="R262" s="2">
        <v>1.25</v>
      </c>
      <c r="S262" s="5">
        <v>320012</v>
      </c>
      <c r="T262" s="5">
        <v>0</v>
      </c>
      <c r="U262" s="5">
        <v>400015</v>
      </c>
      <c r="V262" s="5">
        <v>0</v>
      </c>
      <c r="W262" s="5">
        <v>0</v>
      </c>
      <c r="X262" s="5">
        <v>0</v>
      </c>
      <c r="Y262" s="5">
        <v>0</v>
      </c>
      <c r="Z262" s="10">
        <v>0</v>
      </c>
      <c r="AA262" s="10">
        <v>0</v>
      </c>
      <c r="AB262" s="10">
        <v>0</v>
      </c>
      <c r="AC262" s="10">
        <v>0</v>
      </c>
      <c r="AD262" s="11">
        <v>0</v>
      </c>
      <c r="AE262" s="28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1"/>
    </row>
    <row r="263" spans="1:50" x14ac:dyDescent="0.25">
      <c r="A263" s="47" t="s">
        <v>409</v>
      </c>
      <c r="B263" s="47" t="s">
        <v>40</v>
      </c>
      <c r="C263" s="63" t="s">
        <v>31</v>
      </c>
      <c r="D263" s="22" t="s">
        <v>40</v>
      </c>
      <c r="E263" s="62" t="s">
        <v>3</v>
      </c>
      <c r="F263" s="2" t="s">
        <v>33</v>
      </c>
      <c r="G263" s="31" t="s">
        <v>34</v>
      </c>
      <c r="H263" s="2" t="s">
        <v>35</v>
      </c>
      <c r="I263" s="44">
        <v>5</v>
      </c>
      <c r="J263" s="2" t="s">
        <v>410</v>
      </c>
      <c r="K263" s="5">
        <v>1197304</v>
      </c>
      <c r="L263" s="5">
        <v>50000000</v>
      </c>
      <c r="M263" s="5">
        <v>201898734</v>
      </c>
      <c r="N263" s="13">
        <v>3.95E-2</v>
      </c>
      <c r="O263" s="5">
        <v>6000000</v>
      </c>
      <c r="P263" s="5"/>
      <c r="Q263" s="9">
        <v>0.19955066666666671</v>
      </c>
      <c r="R263" s="2">
        <v>1.25</v>
      </c>
      <c r="S263" s="5">
        <v>957843.2</v>
      </c>
      <c r="T263" s="10">
        <v>1197304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1">
        <v>0</v>
      </c>
      <c r="AE263" s="28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1"/>
    </row>
    <row r="264" spans="1:50" x14ac:dyDescent="0.25">
      <c r="A264" s="47" t="s">
        <v>411</v>
      </c>
      <c r="B264" s="47" t="s">
        <v>185</v>
      </c>
      <c r="C264" s="63" t="s">
        <v>31</v>
      </c>
      <c r="D264" s="22" t="s">
        <v>185</v>
      </c>
      <c r="E264" s="62" t="s">
        <v>3</v>
      </c>
      <c r="F264" s="2" t="s">
        <v>33</v>
      </c>
      <c r="G264" s="31" t="s">
        <v>34</v>
      </c>
      <c r="H264" s="2" t="s">
        <v>35</v>
      </c>
      <c r="I264" s="44">
        <v>5</v>
      </c>
      <c r="J264" s="2" t="s">
        <v>410</v>
      </c>
      <c r="K264" s="5">
        <v>3223132</v>
      </c>
      <c r="L264" s="5">
        <v>23500000</v>
      </c>
      <c r="M264" s="5">
        <v>64497000</v>
      </c>
      <c r="N264" s="13">
        <v>0.60980000000000001</v>
      </c>
      <c r="O264" s="5">
        <v>25000000</v>
      </c>
      <c r="P264" s="5">
        <v>67200</v>
      </c>
      <c r="Q264" s="9">
        <v>0.12892528</v>
      </c>
      <c r="R264" s="2">
        <v>1.25</v>
      </c>
      <c r="S264" s="5">
        <v>2578505.6</v>
      </c>
      <c r="T264" s="10">
        <v>3223132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1">
        <v>0</v>
      </c>
      <c r="AE264" s="28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1"/>
    </row>
    <row r="265" spans="1:50" x14ac:dyDescent="0.25">
      <c r="A265" s="47" t="s">
        <v>412</v>
      </c>
      <c r="B265" s="47" t="s">
        <v>191</v>
      </c>
      <c r="C265" s="2" t="s">
        <v>31</v>
      </c>
      <c r="D265" s="22" t="s">
        <v>55</v>
      </c>
      <c r="E265" s="62" t="s">
        <v>3</v>
      </c>
      <c r="F265" s="2" t="s">
        <v>33</v>
      </c>
      <c r="G265" s="31" t="s">
        <v>34</v>
      </c>
      <c r="H265" s="2" t="s">
        <v>35</v>
      </c>
      <c r="I265" s="44">
        <v>5</v>
      </c>
      <c r="J265" s="2" t="s">
        <v>410</v>
      </c>
      <c r="K265" s="5">
        <v>394247</v>
      </c>
      <c r="L265" s="5">
        <v>11100000</v>
      </c>
      <c r="M265" s="5">
        <v>33548980</v>
      </c>
      <c r="N265" s="13">
        <v>0.14699999999999999</v>
      </c>
      <c r="O265" s="5">
        <v>3300000</v>
      </c>
      <c r="P265" s="5"/>
      <c r="Q265" s="9">
        <v>0.1194687878787879</v>
      </c>
      <c r="R265" s="2">
        <v>1.25</v>
      </c>
      <c r="S265" s="5">
        <v>315397.59999999998</v>
      </c>
      <c r="T265" s="10">
        <v>394247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1">
        <v>0</v>
      </c>
      <c r="AE265" s="28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1"/>
    </row>
    <row r="266" spans="1:50" x14ac:dyDescent="0.25">
      <c r="A266" s="47" t="s">
        <v>413</v>
      </c>
      <c r="B266" s="47" t="s">
        <v>40</v>
      </c>
      <c r="C266" s="63" t="s">
        <v>31</v>
      </c>
      <c r="D266" s="22" t="s">
        <v>40</v>
      </c>
      <c r="E266" s="62" t="s">
        <v>3</v>
      </c>
      <c r="F266" s="2" t="s">
        <v>33</v>
      </c>
      <c r="G266" s="31" t="s">
        <v>34</v>
      </c>
      <c r="H266" s="2" t="s">
        <v>35</v>
      </c>
      <c r="I266" s="44">
        <v>4</v>
      </c>
      <c r="J266" s="2" t="s">
        <v>414</v>
      </c>
      <c r="K266" s="5">
        <v>1184825</v>
      </c>
      <c r="L266" s="5">
        <v>45000000</v>
      </c>
      <c r="M266" s="5">
        <v>219129353</v>
      </c>
      <c r="N266" s="16">
        <v>4.0199999999999993E-2</v>
      </c>
      <c r="O266" s="5">
        <v>7000000</v>
      </c>
      <c r="P266" s="5"/>
      <c r="Q266" s="9">
        <v>0.16926071428571429</v>
      </c>
      <c r="R266" s="2">
        <v>1.25</v>
      </c>
      <c r="S266" s="5">
        <v>947860</v>
      </c>
      <c r="T266" s="10">
        <v>1184825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1">
        <v>0</v>
      </c>
      <c r="AE266" s="28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1"/>
    </row>
    <row r="267" spans="1:50" x14ac:dyDescent="0.25">
      <c r="A267" s="47" t="s">
        <v>415</v>
      </c>
      <c r="B267" s="47" t="s">
        <v>44</v>
      </c>
      <c r="C267" s="2" t="s">
        <v>31</v>
      </c>
      <c r="D267" s="22" t="s">
        <v>44</v>
      </c>
      <c r="E267" s="62" t="s">
        <v>3</v>
      </c>
      <c r="F267" s="2" t="s">
        <v>33</v>
      </c>
      <c r="G267" s="31" t="s">
        <v>34</v>
      </c>
      <c r="H267" s="2" t="s">
        <v>35</v>
      </c>
      <c r="I267" s="44">
        <v>4</v>
      </c>
      <c r="J267" s="2" t="s">
        <v>414</v>
      </c>
      <c r="K267" s="5">
        <v>2444290</v>
      </c>
      <c r="L267" s="5">
        <v>21500000</v>
      </c>
      <c r="M267" s="5">
        <v>78021739</v>
      </c>
      <c r="N267" s="16">
        <v>0.2235</v>
      </c>
      <c r="O267" s="5">
        <v>12632609</v>
      </c>
      <c r="P267" s="5"/>
      <c r="Q267" s="9">
        <v>0.19349051332151579</v>
      </c>
      <c r="R267" s="2">
        <v>1.25</v>
      </c>
      <c r="S267" s="5">
        <v>1955432</v>
      </c>
      <c r="T267" s="10">
        <v>2444290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1">
        <v>0</v>
      </c>
      <c r="AE267" s="28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1"/>
    </row>
    <row r="268" spans="1:50" x14ac:dyDescent="0.25">
      <c r="A268" s="47" t="s">
        <v>416</v>
      </c>
      <c r="B268" s="47" t="s">
        <v>47</v>
      </c>
      <c r="C268" s="2" t="s">
        <v>31</v>
      </c>
      <c r="D268" s="22" t="s">
        <v>47</v>
      </c>
      <c r="E268" s="62" t="s">
        <v>3</v>
      </c>
      <c r="F268" s="2" t="s">
        <v>33</v>
      </c>
      <c r="G268" s="31" t="s">
        <v>34</v>
      </c>
      <c r="H268" s="2" t="s">
        <v>35</v>
      </c>
      <c r="I268" s="44">
        <v>4</v>
      </c>
      <c r="J268" s="2" t="s">
        <v>414</v>
      </c>
      <c r="K268" s="5">
        <v>1489993</v>
      </c>
      <c r="L268" s="5">
        <v>24000000</v>
      </c>
      <c r="M268" s="5">
        <v>38648438</v>
      </c>
      <c r="N268" s="16">
        <v>0.51200000000000001</v>
      </c>
      <c r="O268" s="5">
        <v>7500000</v>
      </c>
      <c r="P268" s="5"/>
      <c r="Q268" s="9">
        <v>0.19866573333333329</v>
      </c>
      <c r="R268" s="2">
        <v>1.25</v>
      </c>
      <c r="S268" s="5">
        <v>1191994.3999999999</v>
      </c>
      <c r="T268" s="10">
        <v>1489993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1">
        <v>0</v>
      </c>
      <c r="AE268" s="28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1"/>
    </row>
    <row r="269" spans="1:50" x14ac:dyDescent="0.25">
      <c r="A269" s="47" t="s">
        <v>417</v>
      </c>
      <c r="B269" s="47" t="s">
        <v>185</v>
      </c>
      <c r="C269" s="63" t="s">
        <v>31</v>
      </c>
      <c r="D269" s="22" t="s">
        <v>185</v>
      </c>
      <c r="E269" s="62" t="s">
        <v>3</v>
      </c>
      <c r="F269" s="2" t="s">
        <v>33</v>
      </c>
      <c r="G269" s="31" t="s">
        <v>34</v>
      </c>
      <c r="H269" s="2" t="s">
        <v>35</v>
      </c>
      <c r="I269" s="44">
        <v>4</v>
      </c>
      <c r="J269" s="2" t="s">
        <v>414</v>
      </c>
      <c r="K269" s="5">
        <v>3024091</v>
      </c>
      <c r="L269" s="5">
        <v>35988000</v>
      </c>
      <c r="M269" s="5">
        <v>64959050</v>
      </c>
      <c r="N269" s="16">
        <v>0.73</v>
      </c>
      <c r="O269" s="5">
        <v>21148867</v>
      </c>
      <c r="P269" s="5"/>
      <c r="Q269" s="9">
        <v>0.14299068597859169</v>
      </c>
      <c r="R269" s="2">
        <v>1.25</v>
      </c>
      <c r="S269" s="5">
        <v>2419272.7999999998</v>
      </c>
      <c r="T269" s="10">
        <v>3024091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1">
        <v>0</v>
      </c>
      <c r="AE269" s="28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1"/>
    </row>
    <row r="270" spans="1:50" x14ac:dyDescent="0.25">
      <c r="A270" s="47" t="s">
        <v>418</v>
      </c>
      <c r="B270" s="47" t="s">
        <v>191</v>
      </c>
      <c r="C270" s="2" t="s">
        <v>31</v>
      </c>
      <c r="D270" s="22" t="s">
        <v>55</v>
      </c>
      <c r="E270" s="62" t="s">
        <v>3</v>
      </c>
      <c r="F270" s="2" t="s">
        <v>33</v>
      </c>
      <c r="G270" s="31" t="s">
        <v>34</v>
      </c>
      <c r="H270" s="2" t="s">
        <v>35</v>
      </c>
      <c r="I270" s="44">
        <v>4</v>
      </c>
      <c r="J270" s="2" t="s">
        <v>414</v>
      </c>
      <c r="K270" s="5">
        <v>597703</v>
      </c>
      <c r="L270" s="5">
        <v>15000000</v>
      </c>
      <c r="M270" s="5">
        <v>33421053</v>
      </c>
      <c r="N270" s="16">
        <v>0.38</v>
      </c>
      <c r="O270" s="5">
        <v>7000000</v>
      </c>
      <c r="P270" s="5"/>
      <c r="Q270" s="9">
        <v>8.5386142857142855E-2</v>
      </c>
      <c r="R270" s="2">
        <v>1.25</v>
      </c>
      <c r="S270" s="5">
        <v>478162.4</v>
      </c>
      <c r="T270" s="10">
        <v>597703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1">
        <v>0</v>
      </c>
      <c r="AE270" s="28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1"/>
    </row>
    <row r="271" spans="1:50" x14ac:dyDescent="0.25">
      <c r="A271" s="47" t="s">
        <v>419</v>
      </c>
      <c r="B271" s="47" t="s">
        <v>40</v>
      </c>
      <c r="C271" s="63" t="s">
        <v>31</v>
      </c>
      <c r="D271" s="22" t="s">
        <v>40</v>
      </c>
      <c r="E271" s="62" t="s">
        <v>3</v>
      </c>
      <c r="F271" s="2" t="s">
        <v>33</v>
      </c>
      <c r="G271" s="31" t="s">
        <v>34</v>
      </c>
      <c r="H271" s="2" t="s">
        <v>35</v>
      </c>
      <c r="I271" s="44">
        <v>3</v>
      </c>
      <c r="J271" s="2" t="s">
        <v>420</v>
      </c>
      <c r="K271" s="5">
        <v>1394685</v>
      </c>
      <c r="L271" s="5">
        <v>96124000</v>
      </c>
      <c r="M271" s="5">
        <v>207235111</v>
      </c>
      <c r="N271" s="16">
        <v>0.09</v>
      </c>
      <c r="O271" s="5">
        <v>10000000</v>
      </c>
      <c r="P271" s="5"/>
      <c r="Q271" s="9">
        <v>0.1394685</v>
      </c>
      <c r="R271" s="2">
        <v>1.35</v>
      </c>
      <c r="S271" s="5">
        <v>1033100</v>
      </c>
      <c r="T271" s="10">
        <v>1394685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1">
        <v>0</v>
      </c>
      <c r="AE271" s="28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1"/>
    </row>
    <row r="272" spans="1:50" x14ac:dyDescent="0.25">
      <c r="A272" s="47" t="s">
        <v>421</v>
      </c>
      <c r="B272" s="47" t="s">
        <v>44</v>
      </c>
      <c r="C272" s="2" t="s">
        <v>31</v>
      </c>
      <c r="D272" s="22" t="s">
        <v>44</v>
      </c>
      <c r="E272" s="62" t="s">
        <v>3</v>
      </c>
      <c r="F272" s="2" t="s">
        <v>33</v>
      </c>
      <c r="G272" s="31" t="s">
        <v>34</v>
      </c>
      <c r="H272" s="2" t="s">
        <v>35</v>
      </c>
      <c r="I272" s="44">
        <v>3</v>
      </c>
      <c r="J272" s="2" t="s">
        <v>420</v>
      </c>
      <c r="K272" s="5">
        <v>2366152</v>
      </c>
      <c r="L272" s="5">
        <v>24510000</v>
      </c>
      <c r="M272" s="5">
        <v>84152147</v>
      </c>
      <c r="N272" s="16">
        <v>0.2515</v>
      </c>
      <c r="O272" s="5">
        <v>15000000</v>
      </c>
      <c r="P272" s="5"/>
      <c r="Q272" s="9">
        <v>0.15774346666666669</v>
      </c>
      <c r="R272" s="2">
        <v>1.35</v>
      </c>
      <c r="S272" s="5">
        <v>1752705.1851851849</v>
      </c>
      <c r="T272" s="10">
        <v>2366152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1">
        <v>0</v>
      </c>
      <c r="AE272" s="28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1"/>
    </row>
    <row r="273" spans="1:50" x14ac:dyDescent="0.25">
      <c r="A273" s="47" t="s">
        <v>422</v>
      </c>
      <c r="B273" s="47" t="s">
        <v>47</v>
      </c>
      <c r="C273" s="2" t="s">
        <v>31</v>
      </c>
      <c r="D273" s="22" t="s">
        <v>47</v>
      </c>
      <c r="E273" s="62" t="s">
        <v>3</v>
      </c>
      <c r="F273" s="2" t="s">
        <v>33</v>
      </c>
      <c r="G273" s="31" t="s">
        <v>34</v>
      </c>
      <c r="H273" s="2" t="s">
        <v>35</v>
      </c>
      <c r="I273" s="44">
        <v>3</v>
      </c>
      <c r="J273" s="2" t="s">
        <v>420</v>
      </c>
      <c r="K273" s="5">
        <v>1743720</v>
      </c>
      <c r="L273" s="5">
        <v>45639000</v>
      </c>
      <c r="M273" s="5">
        <v>70639000</v>
      </c>
      <c r="N273" s="16">
        <v>0.4</v>
      </c>
      <c r="O273" s="5">
        <v>10000000</v>
      </c>
      <c r="P273" s="5"/>
      <c r="Q273" s="9">
        <v>0.174372</v>
      </c>
      <c r="R273" s="2">
        <v>1.35</v>
      </c>
      <c r="S273" s="5">
        <v>1291644.444444444</v>
      </c>
      <c r="T273" s="10">
        <v>1743720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1">
        <v>0</v>
      </c>
      <c r="AE273" s="28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1"/>
    </row>
    <row r="274" spans="1:50" x14ac:dyDescent="0.25">
      <c r="A274" s="47" t="s">
        <v>423</v>
      </c>
      <c r="B274" s="47" t="s">
        <v>218</v>
      </c>
      <c r="C274" s="2" t="s">
        <v>31</v>
      </c>
      <c r="D274" s="22" t="s">
        <v>218</v>
      </c>
      <c r="E274" s="62" t="s">
        <v>3</v>
      </c>
      <c r="F274" s="2" t="s">
        <v>33</v>
      </c>
      <c r="G274" s="31" t="s">
        <v>34</v>
      </c>
      <c r="H274" s="2" t="s">
        <v>35</v>
      </c>
      <c r="I274" s="44">
        <v>3</v>
      </c>
      <c r="J274" s="2" t="s">
        <v>420</v>
      </c>
      <c r="K274" s="5">
        <v>2195998</v>
      </c>
      <c r="L274" s="5">
        <v>167201000</v>
      </c>
      <c r="M274" s="5">
        <v>366404187</v>
      </c>
      <c r="N274" s="16">
        <v>0.15060000000000001</v>
      </c>
      <c r="O274" s="5">
        <v>30000000</v>
      </c>
      <c r="P274" s="5"/>
      <c r="Q274" s="9">
        <v>7.3199933333333328E-2</v>
      </c>
      <c r="R274" s="2">
        <v>1.35</v>
      </c>
      <c r="S274" s="5">
        <v>1626665.1851851849</v>
      </c>
      <c r="T274" s="10">
        <v>2195998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1">
        <v>0</v>
      </c>
      <c r="AE274" s="28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1"/>
    </row>
    <row r="275" spans="1:50" x14ac:dyDescent="0.25">
      <c r="A275" s="47" t="s">
        <v>424</v>
      </c>
      <c r="B275" s="47" t="s">
        <v>185</v>
      </c>
      <c r="C275" s="63" t="s">
        <v>31</v>
      </c>
      <c r="D275" s="22" t="s">
        <v>185</v>
      </c>
      <c r="E275" s="62" t="s">
        <v>3</v>
      </c>
      <c r="F275" s="2" t="s">
        <v>33</v>
      </c>
      <c r="G275" s="31" t="s">
        <v>34</v>
      </c>
      <c r="H275" s="2" t="s">
        <v>35</v>
      </c>
      <c r="I275" s="44">
        <v>3</v>
      </c>
      <c r="J275" s="2" t="s">
        <v>420</v>
      </c>
      <c r="K275" s="5">
        <v>3018273</v>
      </c>
      <c r="L275" s="5">
        <v>78605000</v>
      </c>
      <c r="M275" s="5">
        <v>132516462</v>
      </c>
      <c r="N275" s="16">
        <v>0.46</v>
      </c>
      <c r="O275" s="5">
        <v>24799273</v>
      </c>
      <c r="P275" s="5"/>
      <c r="Q275" s="9">
        <v>0.12170812426638471</v>
      </c>
      <c r="R275" s="2">
        <v>1.35</v>
      </c>
      <c r="S275" s="5">
        <v>2235757.777777778</v>
      </c>
      <c r="T275" s="10">
        <v>3018273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1">
        <v>0</v>
      </c>
      <c r="AE275" s="28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1"/>
    </row>
    <row r="276" spans="1:50" x14ac:dyDescent="0.25">
      <c r="A276" s="47" t="s">
        <v>425</v>
      </c>
      <c r="B276" s="47" t="s">
        <v>191</v>
      </c>
      <c r="C276" s="2" t="s">
        <v>31</v>
      </c>
      <c r="D276" s="22" t="s">
        <v>55</v>
      </c>
      <c r="E276" s="62" t="s">
        <v>3</v>
      </c>
      <c r="F276" s="2" t="s">
        <v>33</v>
      </c>
      <c r="G276" s="31" t="s">
        <v>34</v>
      </c>
      <c r="H276" s="2" t="s">
        <v>35</v>
      </c>
      <c r="I276" s="44">
        <v>3</v>
      </c>
      <c r="J276" s="2" t="s">
        <v>420</v>
      </c>
      <c r="K276" s="5">
        <v>591663</v>
      </c>
      <c r="L276" s="5">
        <v>8169000</v>
      </c>
      <c r="M276" s="5">
        <v>15964447</v>
      </c>
      <c r="N276" s="16">
        <v>0.64139999999999997</v>
      </c>
      <c r="O276" s="5">
        <v>5000000</v>
      </c>
      <c r="P276" s="5"/>
      <c r="Q276" s="9">
        <v>0.1183326</v>
      </c>
      <c r="R276" s="2">
        <v>1.35</v>
      </c>
      <c r="S276" s="5">
        <v>438268.88888888888</v>
      </c>
      <c r="T276" s="10">
        <v>591663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1">
        <v>0</v>
      </c>
      <c r="AE276" s="28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1"/>
    </row>
    <row r="277" spans="1:50" x14ac:dyDescent="0.25">
      <c r="A277" s="49" t="s">
        <v>426</v>
      </c>
      <c r="B277" s="49" t="s">
        <v>427</v>
      </c>
      <c r="C277" s="63" t="s">
        <v>51</v>
      </c>
      <c r="D277" s="24" t="s">
        <v>428</v>
      </c>
      <c r="E277" s="62" t="s">
        <v>3</v>
      </c>
      <c r="F277" s="2" t="s">
        <v>33</v>
      </c>
      <c r="G277" s="31" t="s">
        <v>34</v>
      </c>
      <c r="H277" s="2" t="s">
        <v>35</v>
      </c>
      <c r="I277" s="44">
        <v>2</v>
      </c>
      <c r="J277" s="5" t="s">
        <v>429</v>
      </c>
      <c r="K277" s="5">
        <v>2336296</v>
      </c>
      <c r="L277" s="5">
        <v>30812000</v>
      </c>
      <c r="M277" s="5">
        <v>79992000</v>
      </c>
      <c r="N277" s="13">
        <v>0.30499999999999999</v>
      </c>
      <c r="O277" s="5">
        <v>15000000</v>
      </c>
      <c r="P277" s="5"/>
      <c r="Q277" s="9">
        <v>0.15575306666666669</v>
      </c>
      <c r="R277" s="2">
        <v>1.35</v>
      </c>
      <c r="S277" s="5">
        <v>1730589.629629629</v>
      </c>
      <c r="T277" s="10">
        <v>2336296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1">
        <v>0</v>
      </c>
      <c r="AE277" s="28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1"/>
    </row>
    <row r="278" spans="1:50" x14ac:dyDescent="0.25">
      <c r="A278" s="49" t="s">
        <v>430</v>
      </c>
      <c r="B278" s="49" t="s">
        <v>431</v>
      </c>
      <c r="C278" s="63" t="s">
        <v>51</v>
      </c>
      <c r="D278" s="24" t="s">
        <v>428</v>
      </c>
      <c r="E278" s="62" t="s">
        <v>3</v>
      </c>
      <c r="F278" s="2" t="s">
        <v>33</v>
      </c>
      <c r="G278" s="31" t="s">
        <v>34</v>
      </c>
      <c r="H278" s="2" t="s">
        <v>35</v>
      </c>
      <c r="I278" s="44">
        <v>2</v>
      </c>
      <c r="J278" s="5" t="s">
        <v>429</v>
      </c>
      <c r="K278" s="5">
        <v>2170235</v>
      </c>
      <c r="L278" s="5">
        <v>38388000</v>
      </c>
      <c r="M278" s="5">
        <v>74973000</v>
      </c>
      <c r="N278" s="13">
        <v>0.41</v>
      </c>
      <c r="O278" s="5">
        <v>15000000</v>
      </c>
      <c r="P278" s="5"/>
      <c r="Q278" s="9">
        <v>0.1446823333333333</v>
      </c>
      <c r="R278" s="2">
        <v>1.35</v>
      </c>
      <c r="S278" s="5">
        <v>1607581.4814814811</v>
      </c>
      <c r="T278" s="10">
        <v>2170235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1">
        <v>0</v>
      </c>
      <c r="AE278" s="28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1"/>
    </row>
    <row r="279" spans="1:50" x14ac:dyDescent="0.25">
      <c r="A279" s="49" t="s">
        <v>432</v>
      </c>
      <c r="B279" s="49" t="s">
        <v>433</v>
      </c>
      <c r="C279" s="63" t="s">
        <v>51</v>
      </c>
      <c r="D279" s="24" t="s">
        <v>428</v>
      </c>
      <c r="E279" s="62" t="s">
        <v>3</v>
      </c>
      <c r="F279" s="2" t="s">
        <v>33</v>
      </c>
      <c r="G279" s="31" t="s">
        <v>34</v>
      </c>
      <c r="H279" s="2" t="s">
        <v>35</v>
      </c>
      <c r="I279" s="44">
        <v>2</v>
      </c>
      <c r="J279" s="5" t="s">
        <v>429</v>
      </c>
      <c r="K279" s="5">
        <v>2102044</v>
      </c>
      <c r="L279" s="5">
        <v>16897000</v>
      </c>
      <c r="M279" s="5">
        <v>55858000</v>
      </c>
      <c r="N279" s="13">
        <v>0.38500000000000001</v>
      </c>
      <c r="O279" s="5">
        <v>15000000</v>
      </c>
      <c r="P279" s="5"/>
      <c r="Q279" s="9">
        <v>0.1401362666666667</v>
      </c>
      <c r="R279" s="2">
        <v>1.35</v>
      </c>
      <c r="S279" s="5">
        <v>1557069.629629629</v>
      </c>
      <c r="T279" s="10">
        <v>2102044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1">
        <v>0</v>
      </c>
      <c r="AE279" s="28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1"/>
    </row>
    <row r="280" spans="1:50" x14ac:dyDescent="0.25">
      <c r="A280" s="49" t="s">
        <v>434</v>
      </c>
      <c r="B280" s="49" t="s">
        <v>435</v>
      </c>
      <c r="C280" s="63" t="s">
        <v>51</v>
      </c>
      <c r="D280" s="24" t="s">
        <v>428</v>
      </c>
      <c r="E280" s="62" t="s">
        <v>3</v>
      </c>
      <c r="F280" s="2" t="s">
        <v>33</v>
      </c>
      <c r="G280" s="31" t="s">
        <v>34</v>
      </c>
      <c r="H280" s="2" t="s">
        <v>35</v>
      </c>
      <c r="I280" s="44">
        <v>2</v>
      </c>
      <c r="J280" s="5" t="s">
        <v>429</v>
      </c>
      <c r="K280" s="5">
        <v>2391154</v>
      </c>
      <c r="L280" s="5">
        <v>27716000</v>
      </c>
      <c r="M280" s="5">
        <v>65962000</v>
      </c>
      <c r="N280" s="13">
        <v>0.39219999999999999</v>
      </c>
      <c r="O280" s="5">
        <v>15000000</v>
      </c>
      <c r="P280" s="5"/>
      <c r="Q280" s="9">
        <v>0.15941026666666669</v>
      </c>
      <c r="R280" s="2">
        <v>1.35</v>
      </c>
      <c r="S280" s="5">
        <v>1771225.1851851849</v>
      </c>
      <c r="T280" s="10">
        <v>2391154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1">
        <v>0</v>
      </c>
      <c r="AE280" s="28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1"/>
    </row>
    <row r="281" spans="1:50" x14ac:dyDescent="0.25">
      <c r="A281" s="49" t="s">
        <v>436</v>
      </c>
      <c r="B281" s="49" t="s">
        <v>110</v>
      </c>
      <c r="C281" s="63" t="s">
        <v>51</v>
      </c>
      <c r="D281" s="24" t="s">
        <v>110</v>
      </c>
      <c r="E281" s="62" t="s">
        <v>3</v>
      </c>
      <c r="F281" s="2" t="s">
        <v>33</v>
      </c>
      <c r="G281" s="31" t="s">
        <v>34</v>
      </c>
      <c r="H281" s="2" t="s">
        <v>35</v>
      </c>
      <c r="I281" s="44">
        <v>2</v>
      </c>
      <c r="J281" s="5" t="s">
        <v>429</v>
      </c>
      <c r="K281" s="5">
        <v>4739094</v>
      </c>
      <c r="L281" s="5">
        <v>59733000</v>
      </c>
      <c r="M281" s="5">
        <v>147657971</v>
      </c>
      <c r="N281" s="13">
        <v>0.3412</v>
      </c>
      <c r="O281" s="5">
        <v>30000000</v>
      </c>
      <c r="P281" s="5">
        <v>8106846</v>
      </c>
      <c r="Q281" s="9">
        <v>0.15796979999999999</v>
      </c>
      <c r="R281" s="2">
        <v>1.35</v>
      </c>
      <c r="S281" s="5">
        <v>3510440</v>
      </c>
      <c r="T281" s="10">
        <v>4739094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1">
        <v>0</v>
      </c>
      <c r="AE281" s="28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1"/>
    </row>
    <row r="282" spans="1:50" x14ac:dyDescent="0.25">
      <c r="A282" s="49" t="s">
        <v>437</v>
      </c>
      <c r="B282" s="49" t="s">
        <v>44</v>
      </c>
      <c r="C282" s="2" t="s">
        <v>31</v>
      </c>
      <c r="D282" s="24" t="s">
        <v>44</v>
      </c>
      <c r="E282" s="62" t="s">
        <v>3</v>
      </c>
      <c r="F282" s="2" t="s">
        <v>33</v>
      </c>
      <c r="G282" s="31" t="s">
        <v>34</v>
      </c>
      <c r="H282" s="2" t="s">
        <v>35</v>
      </c>
      <c r="I282" s="44">
        <v>2</v>
      </c>
      <c r="J282" s="5" t="s">
        <v>429</v>
      </c>
      <c r="K282" s="5">
        <v>2212809</v>
      </c>
      <c r="L282" s="5">
        <v>18857000</v>
      </c>
      <c r="M282" s="5">
        <v>39293000</v>
      </c>
      <c r="N282" s="13">
        <v>0.7340000000000001</v>
      </c>
      <c r="O282" s="5">
        <v>15000000</v>
      </c>
      <c r="P282" s="5"/>
      <c r="Q282" s="9">
        <v>0.1475206</v>
      </c>
      <c r="R282" s="2">
        <v>1.35</v>
      </c>
      <c r="S282" s="5">
        <v>1639117.777777778</v>
      </c>
      <c r="T282" s="10">
        <v>2212809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1">
        <v>0</v>
      </c>
      <c r="AE282" s="28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1"/>
    </row>
    <row r="283" spans="1:50" x14ac:dyDescent="0.25">
      <c r="A283" s="49" t="s">
        <v>438</v>
      </c>
      <c r="B283" s="49" t="s">
        <v>47</v>
      </c>
      <c r="C283" s="2" t="s">
        <v>31</v>
      </c>
      <c r="D283" s="24" t="s">
        <v>47</v>
      </c>
      <c r="E283" s="62" t="s">
        <v>3</v>
      </c>
      <c r="F283" s="2" t="s">
        <v>33</v>
      </c>
      <c r="G283" s="31" t="s">
        <v>34</v>
      </c>
      <c r="H283" s="2" t="s">
        <v>35</v>
      </c>
      <c r="I283" s="44">
        <v>2</v>
      </c>
      <c r="J283" s="5" t="s">
        <v>429</v>
      </c>
      <c r="K283" s="5">
        <v>1766773</v>
      </c>
      <c r="L283" s="5">
        <v>39862000</v>
      </c>
      <c r="M283" s="5">
        <v>62632000</v>
      </c>
      <c r="N283" s="13">
        <v>0.39529999999999998</v>
      </c>
      <c r="O283" s="5">
        <v>9000000</v>
      </c>
      <c r="P283" s="5"/>
      <c r="Q283" s="9">
        <v>0.1963081111111111</v>
      </c>
      <c r="R283" s="2">
        <v>1.35</v>
      </c>
      <c r="S283" s="5">
        <v>1308720.7407407409</v>
      </c>
      <c r="T283" s="10">
        <v>1766773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1">
        <v>0</v>
      </c>
      <c r="AE283" s="28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1"/>
    </row>
    <row r="284" spans="1:50" x14ac:dyDescent="0.25">
      <c r="A284" s="49" t="s">
        <v>439</v>
      </c>
      <c r="B284" s="49" t="s">
        <v>218</v>
      </c>
      <c r="C284" s="2" t="s">
        <v>31</v>
      </c>
      <c r="D284" s="24" t="s">
        <v>218</v>
      </c>
      <c r="E284" s="62" t="s">
        <v>3</v>
      </c>
      <c r="F284" s="2" t="s">
        <v>33</v>
      </c>
      <c r="G284" s="31" t="s">
        <v>34</v>
      </c>
      <c r="H284" s="2" t="s">
        <v>35</v>
      </c>
      <c r="I284" s="44">
        <v>2</v>
      </c>
      <c r="J284" s="5" t="s">
        <v>429</v>
      </c>
      <c r="K284" s="5">
        <v>2904512</v>
      </c>
      <c r="L284" s="5">
        <v>246943000</v>
      </c>
      <c r="M284" s="5">
        <v>666523000</v>
      </c>
      <c r="N284" s="13">
        <v>7.1499999999999994E-2</v>
      </c>
      <c r="O284" s="5">
        <v>30000000</v>
      </c>
      <c r="P284" s="5"/>
      <c r="Q284" s="9">
        <v>9.6817066666666673E-2</v>
      </c>
      <c r="R284" s="2">
        <v>1.35</v>
      </c>
      <c r="S284" s="5">
        <v>2151490.3703703699</v>
      </c>
      <c r="T284" s="10">
        <v>2904512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1">
        <v>0</v>
      </c>
      <c r="AE284" s="28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1"/>
    </row>
    <row r="285" spans="1:50" x14ac:dyDescent="0.25">
      <c r="A285" s="49" t="s">
        <v>440</v>
      </c>
      <c r="B285" s="49" t="s">
        <v>185</v>
      </c>
      <c r="C285" s="63" t="s">
        <v>31</v>
      </c>
      <c r="D285" s="24" t="s">
        <v>185</v>
      </c>
      <c r="E285" s="62" t="s">
        <v>3</v>
      </c>
      <c r="F285" s="2" t="s">
        <v>33</v>
      </c>
      <c r="G285" s="31" t="s">
        <v>34</v>
      </c>
      <c r="H285" s="2" t="s">
        <v>35</v>
      </c>
      <c r="I285" s="44">
        <v>2</v>
      </c>
      <c r="J285" s="5" t="s">
        <v>429</v>
      </c>
      <c r="K285" s="5">
        <v>3599734</v>
      </c>
      <c r="L285" s="5">
        <v>55000000</v>
      </c>
      <c r="M285" s="5">
        <v>99776000</v>
      </c>
      <c r="N285" s="13">
        <v>0.67</v>
      </c>
      <c r="O285" s="5">
        <v>30000000</v>
      </c>
      <c r="P285" s="5"/>
      <c r="Q285" s="9">
        <v>0.11999113333333331</v>
      </c>
      <c r="R285" s="2">
        <v>1.35</v>
      </c>
      <c r="S285" s="5">
        <v>2666469.6296296301</v>
      </c>
      <c r="T285" s="10">
        <v>3599734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1">
        <v>0</v>
      </c>
      <c r="AE285" s="28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1"/>
    </row>
    <row r="286" spans="1:50" x14ac:dyDescent="0.25">
      <c r="A286" s="49" t="s">
        <v>441</v>
      </c>
      <c r="B286" s="49" t="s">
        <v>191</v>
      </c>
      <c r="C286" s="2" t="s">
        <v>31</v>
      </c>
      <c r="D286" s="24" t="s">
        <v>55</v>
      </c>
      <c r="E286" s="62" t="s">
        <v>3</v>
      </c>
      <c r="F286" s="2" t="s">
        <v>33</v>
      </c>
      <c r="G286" s="31" t="s">
        <v>34</v>
      </c>
      <c r="H286" s="2" t="s">
        <v>35</v>
      </c>
      <c r="I286" s="44">
        <v>2</v>
      </c>
      <c r="J286" s="5" t="s">
        <v>429</v>
      </c>
      <c r="K286" s="5">
        <v>569618</v>
      </c>
      <c r="L286" s="5">
        <v>8701000</v>
      </c>
      <c r="M286" s="5">
        <v>13605000</v>
      </c>
      <c r="N286" s="13">
        <v>0.96650000000000003</v>
      </c>
      <c r="O286" s="5">
        <v>4740000</v>
      </c>
      <c r="P286" s="5"/>
      <c r="Q286" s="9">
        <v>0.1201725738396624</v>
      </c>
      <c r="R286" s="2">
        <v>1.35</v>
      </c>
      <c r="S286" s="5">
        <v>421939.25925925921</v>
      </c>
      <c r="T286" s="10">
        <v>569618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1">
        <v>0</v>
      </c>
      <c r="AE286" s="28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1"/>
    </row>
    <row r="287" spans="1:50" x14ac:dyDescent="0.25">
      <c r="A287" s="47" t="s">
        <v>442</v>
      </c>
      <c r="B287" s="47" t="s">
        <v>443</v>
      </c>
      <c r="C287" s="63" t="s">
        <v>51</v>
      </c>
      <c r="D287" s="22" t="s">
        <v>428</v>
      </c>
      <c r="E287" s="62" t="s">
        <v>3</v>
      </c>
      <c r="F287" s="2" t="s">
        <v>33</v>
      </c>
      <c r="G287" s="31" t="s">
        <v>34</v>
      </c>
      <c r="H287" s="2" t="s">
        <v>35</v>
      </c>
      <c r="I287" s="44">
        <v>1</v>
      </c>
      <c r="J287" s="2" t="s">
        <v>444</v>
      </c>
      <c r="K287" s="5">
        <v>4500000</v>
      </c>
      <c r="L287" s="5">
        <v>109814000</v>
      </c>
      <c r="M287" s="5">
        <v>189463000</v>
      </c>
      <c r="N287" s="13">
        <v>0.37669999999999998</v>
      </c>
      <c r="O287" s="5">
        <v>30000000</v>
      </c>
      <c r="P287" s="5"/>
      <c r="Q287" s="9">
        <v>0.15</v>
      </c>
      <c r="R287" s="2">
        <v>1.45</v>
      </c>
      <c r="S287" s="5">
        <v>3103448.2758620689</v>
      </c>
      <c r="T287" s="10">
        <v>4500000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1">
        <v>0</v>
      </c>
      <c r="AE287" s="28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1"/>
    </row>
    <row r="288" spans="1:50" x14ac:dyDescent="0.25">
      <c r="A288" s="47" t="s">
        <v>445</v>
      </c>
      <c r="B288" s="47" t="s">
        <v>446</v>
      </c>
      <c r="C288" s="63" t="s">
        <v>51</v>
      </c>
      <c r="D288" s="22" t="s">
        <v>428</v>
      </c>
      <c r="E288" s="62" t="s">
        <v>3</v>
      </c>
      <c r="F288" s="2" t="s">
        <v>33</v>
      </c>
      <c r="G288" s="31" t="s">
        <v>34</v>
      </c>
      <c r="H288" s="2" t="s">
        <v>35</v>
      </c>
      <c r="I288" s="44">
        <v>1</v>
      </c>
      <c r="J288" s="2" t="s">
        <v>444</v>
      </c>
      <c r="K288" s="5">
        <v>4500000</v>
      </c>
      <c r="L288" s="5">
        <v>142950000</v>
      </c>
      <c r="M288" s="5">
        <v>191054000</v>
      </c>
      <c r="N288" s="13">
        <v>0.62360000000000004</v>
      </c>
      <c r="O288" s="5">
        <v>30000000</v>
      </c>
      <c r="P288" s="5"/>
      <c r="Q288" s="9">
        <v>0.15</v>
      </c>
      <c r="R288" s="2">
        <v>1.45</v>
      </c>
      <c r="S288" s="5">
        <v>3103448.2758620689</v>
      </c>
      <c r="T288" s="10">
        <v>4500000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1">
        <v>0</v>
      </c>
      <c r="AE288" s="28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1"/>
    </row>
    <row r="289" spans="1:50" x14ac:dyDescent="0.25">
      <c r="A289" s="47" t="s">
        <v>447</v>
      </c>
      <c r="B289" s="47" t="s">
        <v>47</v>
      </c>
      <c r="C289" s="2" t="s">
        <v>31</v>
      </c>
      <c r="D289" s="22" t="s">
        <v>47</v>
      </c>
      <c r="E289" s="62" t="s">
        <v>3</v>
      </c>
      <c r="F289" s="2" t="s">
        <v>33</v>
      </c>
      <c r="G289" s="31" t="s">
        <v>34</v>
      </c>
      <c r="H289" s="2" t="s">
        <v>35</v>
      </c>
      <c r="I289" s="44">
        <v>1</v>
      </c>
      <c r="J289" s="2" t="s">
        <v>444</v>
      </c>
      <c r="K289" s="5">
        <v>1400000</v>
      </c>
      <c r="L289" s="5">
        <v>39862000</v>
      </c>
      <c r="M289" s="5">
        <v>62632000</v>
      </c>
      <c r="N289" s="13">
        <v>0.39529999999999998</v>
      </c>
      <c r="O289" s="5">
        <v>9000000</v>
      </c>
      <c r="P289" s="5">
        <v>6331915</v>
      </c>
      <c r="Q289" s="9">
        <v>0.15555555555555561</v>
      </c>
      <c r="R289" s="2">
        <v>1.45</v>
      </c>
      <c r="S289" s="5">
        <v>965517.24137931038</v>
      </c>
      <c r="T289" s="10">
        <v>1400000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1">
        <v>0</v>
      </c>
      <c r="AE289" s="28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1"/>
    </row>
    <row r="290" spans="1:50" x14ac:dyDescent="0.25">
      <c r="A290" s="47" t="s">
        <v>448</v>
      </c>
      <c r="B290" s="47" t="s">
        <v>218</v>
      </c>
      <c r="C290" s="2" t="s">
        <v>31</v>
      </c>
      <c r="D290" s="22" t="s">
        <v>218</v>
      </c>
      <c r="E290" s="62" t="s">
        <v>3</v>
      </c>
      <c r="F290" s="2" t="s">
        <v>33</v>
      </c>
      <c r="G290" s="31" t="s">
        <v>34</v>
      </c>
      <c r="H290" s="2" t="s">
        <v>35</v>
      </c>
      <c r="I290" s="44">
        <v>1</v>
      </c>
      <c r="J290" s="2" t="s">
        <v>444</v>
      </c>
      <c r="K290" s="5">
        <v>3000000</v>
      </c>
      <c r="L290" s="5">
        <v>233435000</v>
      </c>
      <c r="M290" s="5">
        <v>703654000</v>
      </c>
      <c r="N290" s="13">
        <v>6.3799999999999996E-2</v>
      </c>
      <c r="O290" s="5">
        <v>30000000</v>
      </c>
      <c r="P290" s="5">
        <v>3463409</v>
      </c>
      <c r="Q290" s="9">
        <v>0.1</v>
      </c>
      <c r="R290" s="2">
        <v>1.45</v>
      </c>
      <c r="S290" s="5">
        <v>2068965.517241379</v>
      </c>
      <c r="T290" s="10">
        <v>3000000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1">
        <v>0</v>
      </c>
      <c r="AE290" s="28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1"/>
    </row>
    <row r="291" spans="1:50" ht="15.75" thickBot="1" x14ac:dyDescent="0.3">
      <c r="A291" s="50" t="s">
        <v>449</v>
      </c>
      <c r="B291" s="50" t="s">
        <v>185</v>
      </c>
      <c r="C291" s="68" t="s">
        <v>31</v>
      </c>
      <c r="D291" s="25" t="s">
        <v>185</v>
      </c>
      <c r="E291" s="62" t="s">
        <v>3</v>
      </c>
      <c r="F291" s="6" t="s">
        <v>33</v>
      </c>
      <c r="G291" s="31" t="s">
        <v>34</v>
      </c>
      <c r="H291" s="6" t="s">
        <v>35</v>
      </c>
      <c r="I291" s="45">
        <v>1</v>
      </c>
      <c r="J291" s="6" t="s">
        <v>444</v>
      </c>
      <c r="K291" s="17">
        <v>3600000</v>
      </c>
      <c r="L291" s="17">
        <v>52933000</v>
      </c>
      <c r="M291" s="17">
        <v>102113000</v>
      </c>
      <c r="N291" s="18">
        <v>0.61</v>
      </c>
      <c r="O291" s="17">
        <v>30000000</v>
      </c>
      <c r="P291" s="17">
        <v>16506656</v>
      </c>
      <c r="Q291" s="19">
        <v>0.12</v>
      </c>
      <c r="R291" s="6">
        <v>1.45</v>
      </c>
      <c r="S291" s="17">
        <v>2482758.6206896552</v>
      </c>
      <c r="T291" s="20">
        <v>3600000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0</v>
      </c>
      <c r="AD291" s="21">
        <v>0</v>
      </c>
      <c r="AE291" s="34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3"/>
    </row>
    <row r="292" spans="1:50" x14ac:dyDescent="0.25">
      <c r="G292" s="2"/>
    </row>
  </sheetData>
  <autoFilter ref="A1:AX291" xr:uid="{00000000-0001-0000-0000-000000000000}"/>
  <phoneticPr fontId="6" type="noConversion"/>
  <conditionalFormatting sqref="Q230:Q291">
    <cfRule type="cellIs" dxfId="0" priority="1" operator="greaterThan">
      <formula>0.2</formula>
    </cfRule>
  </conditionalFormatting>
  <dataValidations count="1">
    <dataValidation type="list" allowBlank="1" showInputMessage="1" showErrorMessage="1" sqref="C2:C26" xr:uid="{2DA8E34B-B4C5-4BAA-9019-86474B385BF9}">
      <formula1>"WCA,ESA"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2CB4-6E50-4B25-B599-C90AF9D998F7}">
  <dimension ref="A1:D13"/>
  <sheetViews>
    <sheetView workbookViewId="0">
      <selection activeCell="D6" sqref="D6"/>
    </sheetView>
  </sheetViews>
  <sheetFormatPr defaultRowHeight="15" x14ac:dyDescent="0.25"/>
  <cols>
    <col min="2" max="3" width="14.28515625" bestFit="1" customWidth="1"/>
  </cols>
  <sheetData>
    <row r="1" spans="1:4" ht="30" x14ac:dyDescent="0.25">
      <c r="A1" s="69" t="s">
        <v>7</v>
      </c>
      <c r="B1" s="69" t="s">
        <v>613</v>
      </c>
      <c r="C1" s="69" t="s">
        <v>614</v>
      </c>
      <c r="D1" s="72" t="s">
        <v>615</v>
      </c>
    </row>
    <row r="2" spans="1:4" x14ac:dyDescent="0.25">
      <c r="A2" s="70" t="s">
        <v>612</v>
      </c>
      <c r="B2" s="71">
        <f>SUMIFS('SOV&amp;REPLICA'!$K$2:$K$291,'SOV&amp;REPLICA'!$I$2:$I$291,Sheet1!A2)</f>
        <v>20476000</v>
      </c>
      <c r="C2" s="71">
        <f>SUMIFS('SOV&amp;REPLICA'!$U$2:$U$291,'SOV&amp;REPLICA'!$I$2:$I$291,Sheet1!A2)</f>
        <v>0</v>
      </c>
      <c r="D2" s="73">
        <f>C2/B2</f>
        <v>0</v>
      </c>
    </row>
    <row r="3" spans="1:4" x14ac:dyDescent="0.25">
      <c r="A3" s="70" t="s">
        <v>74</v>
      </c>
      <c r="B3" s="71">
        <f>SUMIFS('SOV&amp;REPLICA'!$K$2:$K$291,'SOV&amp;REPLICA'!$I$2:$I$291,Sheet1!A3)</f>
        <v>24086638</v>
      </c>
      <c r="C3" s="71">
        <f>SUMIFS('SOV&amp;REPLICA'!$U$2:$U$291,'SOV&amp;REPLICA'!$I$2:$I$291,Sheet1!A3)</f>
        <v>3907800</v>
      </c>
      <c r="D3" s="73">
        <f t="shared" ref="D3:D13" si="0">C3/B3</f>
        <v>0.16223932954030362</v>
      </c>
    </row>
    <row r="4" spans="1:4" x14ac:dyDescent="0.25">
      <c r="A4" s="70" t="s">
        <v>165</v>
      </c>
      <c r="B4" s="71">
        <f>SUMIFS('SOV&amp;REPLICA'!$K$2:$K$291,'SOV&amp;REPLICA'!$I$2:$I$291,Sheet1!A4)</f>
        <v>22361889</v>
      </c>
      <c r="C4" s="71">
        <f>SUMIFS('SOV&amp;REPLICA'!$U$2:$U$291,'SOV&amp;REPLICA'!$I$2:$I$291,Sheet1!A4)</f>
        <v>5750000</v>
      </c>
      <c r="D4" s="73">
        <f t="shared" si="0"/>
        <v>0.25713391207692693</v>
      </c>
    </row>
    <row r="5" spans="1:4" x14ac:dyDescent="0.25">
      <c r="A5" s="70">
        <v>9</v>
      </c>
      <c r="B5" s="71">
        <f>SUMIFS('SOV&amp;REPLICA'!$K$2:$K$291,'SOV&amp;REPLICA'!$I$2:$I$291,Sheet1!A5)</f>
        <v>22143132</v>
      </c>
      <c r="C5" s="71">
        <f>SUMIFS('SOV&amp;REPLICA'!$U$2:$U$291,'SOV&amp;REPLICA'!$I$2:$I$291,Sheet1!A5)</f>
        <v>1342818</v>
      </c>
      <c r="D5" s="73">
        <f t="shared" si="0"/>
        <v>6.0642640797155527E-2</v>
      </c>
    </row>
    <row r="6" spans="1:4" x14ac:dyDescent="0.25">
      <c r="A6" s="70">
        <v>8</v>
      </c>
      <c r="B6" s="71">
        <f>SUMIFS('SOV&amp;REPLICA'!$K$2:$K$291,'SOV&amp;REPLICA'!$I$2:$I$291,Sheet1!A6)</f>
        <v>30359688</v>
      </c>
      <c r="C6" s="71">
        <f>SUMIFS('SOV&amp;REPLICA'!$U$2:$U$291,'SOV&amp;REPLICA'!$I$2:$I$291,Sheet1!A6)</f>
        <v>10405221</v>
      </c>
      <c r="D6" s="73">
        <f t="shared" si="0"/>
        <v>0.34273148656863667</v>
      </c>
    </row>
    <row r="7" spans="1:4" x14ac:dyDescent="0.25">
      <c r="A7" s="70">
        <v>7</v>
      </c>
      <c r="B7" s="71">
        <f>SUMIFS('SOV&amp;REPLICA'!$K$2:$K$291,'SOV&amp;REPLICA'!$I$2:$I$291,Sheet1!A7)</f>
        <v>20728697</v>
      </c>
      <c r="C7" s="71">
        <f>SUMIFS('SOV&amp;REPLICA'!$U$2:$U$291,'SOV&amp;REPLICA'!$I$2:$I$291,Sheet1!A7)</f>
        <v>12598952</v>
      </c>
      <c r="D7" s="73">
        <f t="shared" si="0"/>
        <v>0.60780241034928539</v>
      </c>
    </row>
    <row r="8" spans="1:4" x14ac:dyDescent="0.25">
      <c r="A8" s="70">
        <v>6</v>
      </c>
      <c r="B8" s="71">
        <f>SUMIFS('SOV&amp;REPLICA'!$K$2:$K$291,'SOV&amp;REPLICA'!$I$2:$I$291,Sheet1!A8)</f>
        <v>16049587</v>
      </c>
      <c r="C8" s="71">
        <f>SUMIFS('SOV&amp;REPLICA'!$U$2:$U$291,'SOV&amp;REPLICA'!$I$2:$I$291,Sheet1!A8)</f>
        <v>7233637</v>
      </c>
      <c r="D8" s="73">
        <f t="shared" si="0"/>
        <v>0.45070549167402252</v>
      </c>
    </row>
    <row r="9" spans="1:4" x14ac:dyDescent="0.25">
      <c r="A9" s="70">
        <v>5</v>
      </c>
      <c r="B9" s="71">
        <f>SUMIFS('SOV&amp;REPLICA'!$K$2:$K$291,'SOV&amp;REPLICA'!$I$2:$I$291,Sheet1!A9)</f>
        <v>4814683</v>
      </c>
      <c r="C9" s="71">
        <f>SUMIFS('SOV&amp;REPLICA'!$U$2:$U$291,'SOV&amp;REPLICA'!$I$2:$I$291,Sheet1!A9)</f>
        <v>0</v>
      </c>
      <c r="D9" s="73">
        <f t="shared" si="0"/>
        <v>0</v>
      </c>
    </row>
    <row r="10" spans="1:4" x14ac:dyDescent="0.25">
      <c r="A10" s="70">
        <v>4</v>
      </c>
      <c r="B10" s="71">
        <f>SUMIFS('SOV&amp;REPLICA'!$K$2:$K$291,'SOV&amp;REPLICA'!$I$2:$I$291,Sheet1!A10)</f>
        <v>8740902</v>
      </c>
      <c r="C10" s="71">
        <f>SUMIFS('SOV&amp;REPLICA'!$U$2:$U$291,'SOV&amp;REPLICA'!$I$2:$I$291,Sheet1!A10)</f>
        <v>0</v>
      </c>
      <c r="D10" s="73">
        <f t="shared" si="0"/>
        <v>0</v>
      </c>
    </row>
    <row r="11" spans="1:4" x14ac:dyDescent="0.25">
      <c r="A11" s="70">
        <v>3</v>
      </c>
      <c r="B11" s="71">
        <f>SUMIFS('SOV&amp;REPLICA'!$K$2:$K$291,'SOV&amp;REPLICA'!$I$2:$I$291,Sheet1!A11)</f>
        <v>11310491</v>
      </c>
      <c r="C11" s="71">
        <f>SUMIFS('SOV&amp;REPLICA'!$U$2:$U$291,'SOV&amp;REPLICA'!$I$2:$I$291,Sheet1!A11)</f>
        <v>0</v>
      </c>
      <c r="D11" s="73">
        <f t="shared" si="0"/>
        <v>0</v>
      </c>
    </row>
    <row r="12" spans="1:4" x14ac:dyDescent="0.25">
      <c r="A12" s="70">
        <v>2</v>
      </c>
      <c r="B12" s="71">
        <f>SUMIFS('SOV&amp;REPLICA'!$K$2:$K$291,'SOV&amp;REPLICA'!$I$2:$I$291,Sheet1!A12)</f>
        <v>24792269</v>
      </c>
      <c r="C12" s="71">
        <f>SUMIFS('SOV&amp;REPLICA'!$U$2:$U$291,'SOV&amp;REPLICA'!$I$2:$I$291,Sheet1!A12)</f>
        <v>0</v>
      </c>
      <c r="D12" s="73">
        <f t="shared" si="0"/>
        <v>0</v>
      </c>
    </row>
    <row r="13" spans="1:4" x14ac:dyDescent="0.25">
      <c r="A13" s="70">
        <v>1</v>
      </c>
      <c r="B13" s="71">
        <f>SUMIFS('SOV&amp;REPLICA'!$K$2:$K$291,'SOV&amp;REPLICA'!$I$2:$I$291,Sheet1!A13)</f>
        <v>17000000</v>
      </c>
      <c r="C13" s="71">
        <f>SUMIFS('SOV&amp;REPLICA'!$U$2:$U$291,'SOV&amp;REPLICA'!$I$2:$I$291,Sheet1!A13)</f>
        <v>0</v>
      </c>
      <c r="D13" s="73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6"/>
  <sheetViews>
    <sheetView workbookViewId="0"/>
  </sheetViews>
  <sheetFormatPr defaultRowHeight="15" x14ac:dyDescent="0.25"/>
  <cols>
    <col min="1" max="1" width="41.7109375" bestFit="1" customWidth="1"/>
    <col min="2" max="3" width="18.28515625" bestFit="1" customWidth="1"/>
  </cols>
  <sheetData>
    <row r="1" spans="1:21" x14ac:dyDescent="0.25">
      <c r="A1" s="51" t="s">
        <v>450</v>
      </c>
      <c r="B1" s="51" t="s">
        <v>451</v>
      </c>
      <c r="C1" s="51" t="s">
        <v>452</v>
      </c>
      <c r="D1" s="51" t="s">
        <v>453</v>
      </c>
      <c r="E1" s="51" t="s">
        <v>454</v>
      </c>
      <c r="F1" s="51" t="s">
        <v>455</v>
      </c>
      <c r="G1" s="51" t="s">
        <v>456</v>
      </c>
      <c r="H1" s="51" t="s">
        <v>457</v>
      </c>
      <c r="I1" s="51" t="s">
        <v>458</v>
      </c>
      <c r="J1" s="51" t="s">
        <v>459</v>
      </c>
      <c r="K1" s="51" t="s">
        <v>460</v>
      </c>
      <c r="L1" s="51" t="s">
        <v>461</v>
      </c>
      <c r="M1" s="51" t="s">
        <v>462</v>
      </c>
      <c r="N1" s="51" t="s">
        <v>463</v>
      </c>
      <c r="O1" s="51" t="s">
        <v>464</v>
      </c>
      <c r="P1" s="51" t="s">
        <v>465</v>
      </c>
      <c r="Q1" s="51" t="s">
        <v>466</v>
      </c>
      <c r="R1" s="51" t="s">
        <v>467</v>
      </c>
      <c r="S1" s="51" t="s">
        <v>468</v>
      </c>
      <c r="T1" s="51" t="s">
        <v>469</v>
      </c>
      <c r="U1" s="51" t="s">
        <v>470</v>
      </c>
    </row>
    <row r="2" spans="1:21" x14ac:dyDescent="0.25">
      <c r="A2" t="s">
        <v>471</v>
      </c>
      <c r="B2" s="52">
        <v>45078</v>
      </c>
      <c r="C2" s="52">
        <v>45199</v>
      </c>
      <c r="D2">
        <v>10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>
        <v>597.69290538521307</v>
      </c>
      <c r="K2">
        <v>15105</v>
      </c>
      <c r="L2">
        <v>15105</v>
      </c>
      <c r="M2">
        <v>0</v>
      </c>
      <c r="N2">
        <v>0</v>
      </c>
      <c r="O2">
        <v>0</v>
      </c>
      <c r="P2">
        <v>150793.1568</v>
      </c>
      <c r="Q2">
        <v>150793.1568</v>
      </c>
      <c r="R2">
        <v>5562</v>
      </c>
      <c r="S2">
        <v>5562</v>
      </c>
      <c r="T2">
        <v>0</v>
      </c>
      <c r="U2" t="s">
        <v>477</v>
      </c>
    </row>
    <row r="3" spans="1:21" x14ac:dyDescent="0.25">
      <c r="A3" t="s">
        <v>478</v>
      </c>
      <c r="B3" s="52">
        <v>45108</v>
      </c>
      <c r="C3" s="52">
        <v>45291</v>
      </c>
      <c r="D3">
        <v>10</v>
      </c>
      <c r="E3" t="s">
        <v>479</v>
      </c>
      <c r="F3" t="s">
        <v>480</v>
      </c>
      <c r="G3" t="s">
        <v>473</v>
      </c>
      <c r="H3" t="s">
        <v>475</v>
      </c>
      <c r="I3" t="s">
        <v>476</v>
      </c>
      <c r="J3">
        <v>611.03</v>
      </c>
      <c r="K3">
        <v>13353.288678173671</v>
      </c>
      <c r="L3">
        <v>13353.288678173671</v>
      </c>
      <c r="M3">
        <v>0</v>
      </c>
      <c r="N3">
        <v>0</v>
      </c>
      <c r="O3">
        <v>0</v>
      </c>
      <c r="P3">
        <v>160882.99612257429</v>
      </c>
      <c r="Q3">
        <v>160882.99612257429</v>
      </c>
      <c r="R3">
        <v>6198.3169341826388</v>
      </c>
      <c r="S3">
        <v>6198.3169341826388</v>
      </c>
      <c r="T3">
        <v>0</v>
      </c>
      <c r="U3" t="s">
        <v>477</v>
      </c>
    </row>
    <row r="4" spans="1:21" x14ac:dyDescent="0.25">
      <c r="A4" t="s">
        <v>481</v>
      </c>
      <c r="B4" s="52">
        <v>45231</v>
      </c>
      <c r="C4" s="52">
        <v>45412</v>
      </c>
      <c r="D4">
        <v>10</v>
      </c>
      <c r="E4" t="s">
        <v>482</v>
      </c>
      <c r="F4" t="s">
        <v>483</v>
      </c>
      <c r="G4" t="s">
        <v>484</v>
      </c>
      <c r="H4" t="s">
        <v>475</v>
      </c>
      <c r="I4" t="s">
        <v>485</v>
      </c>
      <c r="J4">
        <v>1</v>
      </c>
      <c r="K4">
        <v>5127443.2962926403</v>
      </c>
      <c r="L4">
        <v>1664609.796295108</v>
      </c>
      <c r="M4">
        <v>3457266.499997532</v>
      </c>
      <c r="O4">
        <v>5567</v>
      </c>
      <c r="P4">
        <v>9128383</v>
      </c>
      <c r="Q4">
        <v>2966724.4750000001</v>
      </c>
      <c r="R4">
        <v>6610660</v>
      </c>
      <c r="S4">
        <v>2148464.5</v>
      </c>
      <c r="T4">
        <v>4462195.5</v>
      </c>
      <c r="U4" t="s">
        <v>477</v>
      </c>
    </row>
    <row r="5" spans="1:21" x14ac:dyDescent="0.25">
      <c r="A5" t="s">
        <v>486</v>
      </c>
      <c r="B5" s="52">
        <v>45200</v>
      </c>
      <c r="C5" s="52">
        <v>45565</v>
      </c>
      <c r="D5">
        <v>10</v>
      </c>
      <c r="E5" t="s">
        <v>487</v>
      </c>
      <c r="F5" t="s">
        <v>488</v>
      </c>
      <c r="G5" t="s">
        <v>489</v>
      </c>
      <c r="H5" t="s">
        <v>475</v>
      </c>
      <c r="I5" t="s">
        <v>485</v>
      </c>
      <c r="J5">
        <v>1</v>
      </c>
      <c r="K5">
        <v>229889.5630198436</v>
      </c>
      <c r="L5">
        <v>229889.5630198436</v>
      </c>
      <c r="M5">
        <v>0</v>
      </c>
      <c r="N5">
        <v>0</v>
      </c>
      <c r="O5">
        <v>0</v>
      </c>
      <c r="P5">
        <v>1159876.0599557969</v>
      </c>
      <c r="Q5">
        <v>1159876.0599557969</v>
      </c>
      <c r="R5">
        <v>0</v>
      </c>
      <c r="U5" t="s">
        <v>477</v>
      </c>
    </row>
    <row r="6" spans="1:21" x14ac:dyDescent="0.25">
      <c r="A6" t="s">
        <v>490</v>
      </c>
      <c r="B6" s="52">
        <v>45200</v>
      </c>
      <c r="C6" s="52">
        <v>45565</v>
      </c>
      <c r="D6">
        <v>10</v>
      </c>
      <c r="E6" t="s">
        <v>491</v>
      </c>
      <c r="F6" t="s">
        <v>488</v>
      </c>
      <c r="G6" t="s">
        <v>489</v>
      </c>
      <c r="H6" t="s">
        <v>475</v>
      </c>
      <c r="I6" t="s">
        <v>485</v>
      </c>
      <c r="J6">
        <v>1</v>
      </c>
      <c r="K6">
        <v>28437.080892857139</v>
      </c>
      <c r="L6">
        <v>28437.080892857139</v>
      </c>
      <c r="M6">
        <v>0</v>
      </c>
      <c r="N6">
        <v>0</v>
      </c>
      <c r="O6">
        <v>0</v>
      </c>
      <c r="P6">
        <v>133558.67709838849</v>
      </c>
      <c r="Q6">
        <v>133558.67709838849</v>
      </c>
      <c r="R6">
        <v>1889.5711087990369</v>
      </c>
      <c r="S6">
        <v>1889.5711087990369</v>
      </c>
      <c r="U6" t="s">
        <v>477</v>
      </c>
    </row>
    <row r="7" spans="1:21" x14ac:dyDescent="0.25">
      <c r="A7" t="s">
        <v>492</v>
      </c>
      <c r="B7" s="52">
        <v>45200</v>
      </c>
      <c r="C7" s="52">
        <v>45565</v>
      </c>
      <c r="D7">
        <v>10</v>
      </c>
      <c r="E7" t="s">
        <v>491</v>
      </c>
      <c r="F7" t="s">
        <v>488</v>
      </c>
      <c r="G7" t="s">
        <v>489</v>
      </c>
      <c r="H7" t="s">
        <v>475</v>
      </c>
      <c r="I7" t="s">
        <v>485</v>
      </c>
      <c r="J7">
        <v>1</v>
      </c>
      <c r="K7">
        <v>46738.694196428572</v>
      </c>
      <c r="L7">
        <v>46738.694196428572</v>
      </c>
      <c r="M7">
        <v>0</v>
      </c>
      <c r="N7">
        <v>0</v>
      </c>
      <c r="O7">
        <v>0</v>
      </c>
      <c r="P7">
        <v>221537.36767085621</v>
      </c>
      <c r="Q7">
        <v>221537.36767085621</v>
      </c>
      <c r="U7" t="s">
        <v>477</v>
      </c>
    </row>
    <row r="8" spans="1:21" x14ac:dyDescent="0.25">
      <c r="A8" t="s">
        <v>493</v>
      </c>
      <c r="B8" s="52">
        <v>45200</v>
      </c>
      <c r="C8" s="52">
        <v>45565</v>
      </c>
      <c r="D8">
        <v>10</v>
      </c>
      <c r="E8" t="s">
        <v>494</v>
      </c>
      <c r="F8" t="s">
        <v>488</v>
      </c>
      <c r="G8" t="s">
        <v>489</v>
      </c>
      <c r="H8" t="s">
        <v>475</v>
      </c>
      <c r="I8" t="s">
        <v>485</v>
      </c>
      <c r="J8">
        <v>1</v>
      </c>
      <c r="K8">
        <v>70323.011539776446</v>
      </c>
      <c r="L8">
        <v>70323.011539776446</v>
      </c>
      <c r="M8">
        <v>0</v>
      </c>
      <c r="N8">
        <v>0</v>
      </c>
      <c r="O8">
        <v>0</v>
      </c>
      <c r="P8">
        <v>317988.94572490978</v>
      </c>
      <c r="Q8">
        <v>317988.94572490978</v>
      </c>
      <c r="U8" t="s">
        <v>477</v>
      </c>
    </row>
    <row r="9" spans="1:21" x14ac:dyDescent="0.25">
      <c r="A9" t="s">
        <v>495</v>
      </c>
      <c r="B9" s="52">
        <v>45383</v>
      </c>
      <c r="C9" s="52">
        <v>45746</v>
      </c>
      <c r="D9">
        <v>10</v>
      </c>
      <c r="E9" t="s">
        <v>487</v>
      </c>
      <c r="F9" t="s">
        <v>488</v>
      </c>
      <c r="G9" t="s">
        <v>489</v>
      </c>
      <c r="H9" t="s">
        <v>475</v>
      </c>
      <c r="I9" t="s">
        <v>485</v>
      </c>
      <c r="J9">
        <v>1</v>
      </c>
      <c r="K9">
        <v>3528.8667239999941</v>
      </c>
      <c r="L9">
        <v>3528.8667239999941</v>
      </c>
      <c r="M9">
        <v>0</v>
      </c>
      <c r="N9">
        <v>0</v>
      </c>
      <c r="O9">
        <v>0</v>
      </c>
      <c r="P9">
        <v>17831.669999999998</v>
      </c>
      <c r="Q9">
        <v>17831.669999999998</v>
      </c>
      <c r="U9" t="s">
        <v>477</v>
      </c>
    </row>
    <row r="10" spans="1:21" x14ac:dyDescent="0.25">
      <c r="A10" t="s">
        <v>496</v>
      </c>
      <c r="B10" s="52">
        <v>45352</v>
      </c>
      <c r="C10" s="52">
        <v>45716</v>
      </c>
      <c r="D10">
        <v>10</v>
      </c>
      <c r="E10" t="s">
        <v>491</v>
      </c>
      <c r="F10" t="s">
        <v>488</v>
      </c>
      <c r="G10" t="s">
        <v>489</v>
      </c>
      <c r="H10" t="s">
        <v>475</v>
      </c>
      <c r="I10" t="s">
        <v>485</v>
      </c>
      <c r="J10">
        <v>1</v>
      </c>
      <c r="K10">
        <v>68742.122083333335</v>
      </c>
      <c r="L10">
        <v>68742.122083333335</v>
      </c>
      <c r="M10">
        <v>0</v>
      </c>
      <c r="N10">
        <v>0</v>
      </c>
      <c r="O10">
        <v>0</v>
      </c>
      <c r="P10">
        <v>308126.12482343201</v>
      </c>
      <c r="Q10">
        <v>308126.12482343201</v>
      </c>
      <c r="R10">
        <v>15287</v>
      </c>
      <c r="S10">
        <v>15287</v>
      </c>
      <c r="U10" t="s">
        <v>477</v>
      </c>
    </row>
    <row r="11" spans="1:21" x14ac:dyDescent="0.25">
      <c r="A11" t="s">
        <v>497</v>
      </c>
      <c r="B11" s="52">
        <v>45352</v>
      </c>
      <c r="C11" s="52">
        <v>45716</v>
      </c>
      <c r="D11">
        <v>10</v>
      </c>
      <c r="E11" t="s">
        <v>491</v>
      </c>
      <c r="F11" t="s">
        <v>488</v>
      </c>
      <c r="G11" t="s">
        <v>489</v>
      </c>
      <c r="H11" t="s">
        <v>475</v>
      </c>
      <c r="I11" t="s">
        <v>485</v>
      </c>
      <c r="J11">
        <v>1</v>
      </c>
      <c r="K11">
        <v>85499.824605262227</v>
      </c>
      <c r="L11">
        <v>85499.824605262227</v>
      </c>
      <c r="M11">
        <v>0</v>
      </c>
      <c r="N11">
        <v>0</v>
      </c>
      <c r="O11">
        <v>0</v>
      </c>
      <c r="P11">
        <v>426602.15339527652</v>
      </c>
      <c r="Q11">
        <v>426602.15339527652</v>
      </c>
      <c r="U11" t="s">
        <v>477</v>
      </c>
    </row>
    <row r="12" spans="1:21" x14ac:dyDescent="0.25">
      <c r="A12" t="s">
        <v>498</v>
      </c>
      <c r="B12" s="52">
        <v>45352</v>
      </c>
      <c r="C12" s="52">
        <v>45716</v>
      </c>
      <c r="D12">
        <v>10</v>
      </c>
      <c r="E12" t="s">
        <v>494</v>
      </c>
      <c r="F12" t="s">
        <v>488</v>
      </c>
      <c r="G12" t="s">
        <v>489</v>
      </c>
      <c r="H12" t="s">
        <v>475</v>
      </c>
      <c r="I12" t="s">
        <v>485</v>
      </c>
      <c r="J12">
        <v>1</v>
      </c>
      <c r="K12">
        <v>60582.62427090323</v>
      </c>
      <c r="L12">
        <v>60582.62427090323</v>
      </c>
      <c r="M12">
        <v>0</v>
      </c>
      <c r="N12">
        <v>0</v>
      </c>
      <c r="O12">
        <v>0</v>
      </c>
      <c r="P12">
        <v>278247.89780732011</v>
      </c>
      <c r="Q12">
        <v>278247.89780732011</v>
      </c>
      <c r="R12">
        <v>381</v>
      </c>
      <c r="S12">
        <v>381</v>
      </c>
      <c r="U12" t="s">
        <v>477</v>
      </c>
    </row>
    <row r="13" spans="1:21" x14ac:dyDescent="0.25">
      <c r="A13" t="s">
        <v>499</v>
      </c>
      <c r="B13" s="52">
        <v>45323</v>
      </c>
      <c r="C13" s="52">
        <v>45657</v>
      </c>
      <c r="D13">
        <v>10</v>
      </c>
      <c r="E13" t="s">
        <v>494</v>
      </c>
      <c r="F13" t="s">
        <v>500</v>
      </c>
      <c r="G13" t="s">
        <v>501</v>
      </c>
      <c r="H13" t="s">
        <v>475</v>
      </c>
      <c r="I13" t="s">
        <v>485</v>
      </c>
      <c r="J13">
        <v>1</v>
      </c>
      <c r="K13">
        <v>27793.66</v>
      </c>
      <c r="L13">
        <v>27793.66</v>
      </c>
      <c r="M13">
        <v>0</v>
      </c>
      <c r="N13">
        <v>0</v>
      </c>
      <c r="O13">
        <v>0</v>
      </c>
      <c r="P13">
        <v>1400000</v>
      </c>
      <c r="Q13">
        <v>1400000</v>
      </c>
      <c r="R13">
        <v>46308.388973153204</v>
      </c>
      <c r="S13">
        <v>46308.388973153204</v>
      </c>
      <c r="T13">
        <v>0</v>
      </c>
      <c r="U13" t="s">
        <v>477</v>
      </c>
    </row>
    <row r="14" spans="1:21" x14ac:dyDescent="0.25">
      <c r="A14" t="s">
        <v>502</v>
      </c>
      <c r="B14" s="52">
        <v>45306</v>
      </c>
      <c r="C14" s="52">
        <v>45671</v>
      </c>
      <c r="D14">
        <v>10</v>
      </c>
      <c r="E14" t="s">
        <v>503</v>
      </c>
      <c r="F14" t="s">
        <v>483</v>
      </c>
      <c r="G14" t="s">
        <v>484</v>
      </c>
      <c r="H14" t="s">
        <v>475</v>
      </c>
      <c r="I14" t="s">
        <v>485</v>
      </c>
      <c r="J14">
        <v>1</v>
      </c>
      <c r="K14">
        <v>250000</v>
      </c>
      <c r="L14">
        <v>9391.130000000001</v>
      </c>
      <c r="M14">
        <v>240608.87</v>
      </c>
      <c r="N14">
        <v>0</v>
      </c>
      <c r="O14">
        <v>3108.87</v>
      </c>
      <c r="P14">
        <v>1487635.9668871651</v>
      </c>
      <c r="Q14">
        <v>74381.798344358234</v>
      </c>
      <c r="U14" t="s">
        <v>477</v>
      </c>
    </row>
    <row r="15" spans="1:21" x14ac:dyDescent="0.25">
      <c r="A15" t="s">
        <v>504</v>
      </c>
      <c r="B15" s="52">
        <v>45352</v>
      </c>
      <c r="C15" s="52">
        <v>45716</v>
      </c>
      <c r="D15">
        <v>10</v>
      </c>
      <c r="E15" t="s">
        <v>503</v>
      </c>
      <c r="F15" t="s">
        <v>483</v>
      </c>
      <c r="G15" t="s">
        <v>484</v>
      </c>
      <c r="H15" t="s">
        <v>475</v>
      </c>
      <c r="I15" t="s">
        <v>485</v>
      </c>
      <c r="J15">
        <v>1</v>
      </c>
      <c r="K15">
        <v>150000</v>
      </c>
      <c r="L15">
        <v>4391.13</v>
      </c>
      <c r="M15">
        <v>145608.87</v>
      </c>
      <c r="N15">
        <v>0</v>
      </c>
      <c r="O15">
        <v>3108.87</v>
      </c>
      <c r="P15">
        <v>768315</v>
      </c>
      <c r="Q15">
        <v>38415.75</v>
      </c>
      <c r="U15" t="s">
        <v>505</v>
      </c>
    </row>
    <row r="16" spans="1:21" x14ac:dyDescent="0.25">
      <c r="A16" t="s">
        <v>506</v>
      </c>
      <c r="B16" s="52">
        <v>45247</v>
      </c>
      <c r="C16" s="52">
        <v>45412</v>
      </c>
      <c r="D16">
        <v>10</v>
      </c>
      <c r="E16" t="s">
        <v>507</v>
      </c>
      <c r="F16" t="s">
        <v>508</v>
      </c>
      <c r="G16" t="s">
        <v>509</v>
      </c>
      <c r="H16" t="s">
        <v>483</v>
      </c>
      <c r="I16" t="s">
        <v>510</v>
      </c>
      <c r="J16">
        <v>4574.51</v>
      </c>
      <c r="K16">
        <v>69532.991535464156</v>
      </c>
      <c r="L16">
        <v>16703.137095557799</v>
      </c>
      <c r="M16">
        <v>15867.980240779911</v>
      </c>
      <c r="N16">
        <v>835.15685477788998</v>
      </c>
      <c r="O16">
        <v>36126.717344348603</v>
      </c>
      <c r="P16">
        <v>431420.4761517478</v>
      </c>
      <c r="Q16">
        <v>215710.2380758739</v>
      </c>
      <c r="R16">
        <v>35167.051690037268</v>
      </c>
      <c r="S16">
        <v>17583.52584501863</v>
      </c>
      <c r="T16">
        <v>17583.52584501863</v>
      </c>
      <c r="U16" t="s">
        <v>477</v>
      </c>
    </row>
    <row r="17" spans="1:21" x14ac:dyDescent="0.25">
      <c r="A17" t="s">
        <v>511</v>
      </c>
      <c r="B17" s="52">
        <v>45383</v>
      </c>
      <c r="C17" s="52">
        <v>45626</v>
      </c>
      <c r="D17">
        <v>10</v>
      </c>
      <c r="E17" t="s">
        <v>507</v>
      </c>
      <c r="F17" t="s">
        <v>508</v>
      </c>
      <c r="G17" t="s">
        <v>509</v>
      </c>
      <c r="H17" t="s">
        <v>483</v>
      </c>
      <c r="I17" t="s">
        <v>510</v>
      </c>
      <c r="J17">
        <v>4574.51</v>
      </c>
      <c r="K17">
        <v>68693.024311654648</v>
      </c>
      <c r="L17">
        <v>21511.52770461925</v>
      </c>
      <c r="M17">
        <v>20435.951319388281</v>
      </c>
      <c r="N17">
        <v>1075.5763852309631</v>
      </c>
      <c r="O17">
        <v>25669.968902416182</v>
      </c>
      <c r="P17">
        <v>431420.4761517478</v>
      </c>
      <c r="Q17">
        <v>215710.2380758739</v>
      </c>
      <c r="R17">
        <v>10104.65689056804</v>
      </c>
      <c r="S17">
        <v>5052.3284452840207</v>
      </c>
      <c r="T17">
        <v>5052.3284452840207</v>
      </c>
      <c r="U17" t="s">
        <v>477</v>
      </c>
    </row>
    <row r="18" spans="1:21" x14ac:dyDescent="0.25">
      <c r="A18" t="s">
        <v>471</v>
      </c>
      <c r="B18" s="52">
        <v>45444</v>
      </c>
      <c r="C18" s="52">
        <v>45565</v>
      </c>
      <c r="D18">
        <v>11</v>
      </c>
      <c r="E18" t="s">
        <v>472</v>
      </c>
      <c r="F18" t="s">
        <v>473</v>
      </c>
      <c r="G18" t="s">
        <v>473</v>
      </c>
      <c r="H18" t="s">
        <v>475</v>
      </c>
      <c r="I18" t="s">
        <v>476</v>
      </c>
      <c r="J18">
        <v>597.69290538521307</v>
      </c>
      <c r="K18">
        <v>7646.84</v>
      </c>
      <c r="L18">
        <v>7646.84</v>
      </c>
      <c r="M18">
        <v>0</v>
      </c>
      <c r="N18">
        <v>0</v>
      </c>
      <c r="O18">
        <v>0</v>
      </c>
      <c r="P18">
        <v>75396.578399999999</v>
      </c>
      <c r="Q18">
        <v>75396.578399999999</v>
      </c>
      <c r="R18">
        <v>0</v>
      </c>
      <c r="S18">
        <v>0</v>
      </c>
      <c r="T18">
        <v>0</v>
      </c>
      <c r="U18" t="s">
        <v>477</v>
      </c>
    </row>
    <row r="19" spans="1:21" x14ac:dyDescent="0.25">
      <c r="A19" t="s">
        <v>478</v>
      </c>
      <c r="B19" s="52">
        <v>45474</v>
      </c>
      <c r="C19" s="52">
        <v>45657</v>
      </c>
      <c r="D19">
        <v>11</v>
      </c>
      <c r="E19" t="s">
        <v>479</v>
      </c>
      <c r="F19" t="s">
        <v>480</v>
      </c>
      <c r="G19" t="s">
        <v>473</v>
      </c>
      <c r="H19" t="s">
        <v>475</v>
      </c>
      <c r="I19" t="s">
        <v>476</v>
      </c>
      <c r="J19">
        <v>611.03</v>
      </c>
      <c r="K19">
        <v>61499.433134593237</v>
      </c>
      <c r="L19">
        <v>61499.433134593237</v>
      </c>
      <c r="M19">
        <v>0</v>
      </c>
      <c r="N19">
        <v>0</v>
      </c>
      <c r="O19">
        <v>0</v>
      </c>
      <c r="P19">
        <v>869566.00023130828</v>
      </c>
      <c r="Q19">
        <v>869566.00023130828</v>
      </c>
      <c r="R19">
        <v>89428.972938072548</v>
      </c>
      <c r="S19">
        <v>89428.972938072548</v>
      </c>
      <c r="T19">
        <v>0</v>
      </c>
      <c r="U19" t="s">
        <v>512</v>
      </c>
    </row>
    <row r="20" spans="1:21" x14ac:dyDescent="0.25">
      <c r="A20" t="s">
        <v>513</v>
      </c>
      <c r="B20" s="52">
        <v>45505</v>
      </c>
      <c r="C20" s="52">
        <v>45747</v>
      </c>
      <c r="D20">
        <v>11</v>
      </c>
      <c r="E20" t="s">
        <v>514</v>
      </c>
      <c r="F20" t="s">
        <v>483</v>
      </c>
      <c r="G20" t="s">
        <v>515</v>
      </c>
      <c r="H20" t="s">
        <v>483</v>
      </c>
      <c r="I20" t="s">
        <v>516</v>
      </c>
      <c r="J20">
        <v>0.9</v>
      </c>
      <c r="K20">
        <v>2083333.333333333</v>
      </c>
      <c r="L20">
        <v>0</v>
      </c>
      <c r="M20">
        <v>1796875</v>
      </c>
      <c r="N20">
        <v>234375</v>
      </c>
      <c r="O20">
        <v>52083.333333333343</v>
      </c>
      <c r="P20">
        <v>26393940.853439569</v>
      </c>
      <c r="Q20">
        <v>0</v>
      </c>
      <c r="R20">
        <v>6858948.1600000001</v>
      </c>
      <c r="S20">
        <v>0</v>
      </c>
      <c r="T20">
        <v>6858948.1600000001</v>
      </c>
      <c r="U20" t="s">
        <v>517</v>
      </c>
    </row>
    <row r="21" spans="1:21" x14ac:dyDescent="0.25">
      <c r="A21" t="s">
        <v>518</v>
      </c>
      <c r="B21" s="52">
        <v>45505</v>
      </c>
      <c r="C21" s="52">
        <v>45747</v>
      </c>
      <c r="D21">
        <v>11</v>
      </c>
      <c r="E21" t="s">
        <v>514</v>
      </c>
      <c r="F21" t="s">
        <v>483</v>
      </c>
      <c r="G21" t="s">
        <v>515</v>
      </c>
      <c r="H21" t="s">
        <v>483</v>
      </c>
      <c r="I21" t="s">
        <v>516</v>
      </c>
      <c r="J21">
        <v>0.9</v>
      </c>
      <c r="K21">
        <v>583333.33333333337</v>
      </c>
      <c r="L21">
        <v>0</v>
      </c>
      <c r="M21">
        <v>517708.33333333337</v>
      </c>
      <c r="N21">
        <v>65625</v>
      </c>
      <c r="P21">
        <v>13919726.749937329</v>
      </c>
      <c r="Q21">
        <v>0</v>
      </c>
      <c r="U21" t="s">
        <v>517</v>
      </c>
    </row>
    <row r="22" spans="1:21" x14ac:dyDescent="0.25">
      <c r="A22" t="s">
        <v>519</v>
      </c>
      <c r="B22" s="52">
        <v>45505</v>
      </c>
      <c r="C22" s="52">
        <v>45747</v>
      </c>
      <c r="D22">
        <v>11</v>
      </c>
      <c r="E22" t="s">
        <v>514</v>
      </c>
      <c r="F22" t="s">
        <v>483</v>
      </c>
      <c r="G22" t="s">
        <v>515</v>
      </c>
      <c r="H22" t="s">
        <v>483</v>
      </c>
      <c r="I22" t="s">
        <v>516</v>
      </c>
      <c r="J22">
        <v>0.9</v>
      </c>
      <c r="K22">
        <v>1500000</v>
      </c>
      <c r="L22">
        <v>75000</v>
      </c>
      <c r="M22">
        <v>1256250</v>
      </c>
      <c r="N22">
        <v>168750</v>
      </c>
      <c r="P22">
        <v>21525347.700740561</v>
      </c>
      <c r="Q22">
        <v>1076267.385037028</v>
      </c>
      <c r="R22">
        <v>0</v>
      </c>
      <c r="S22">
        <v>0</v>
      </c>
      <c r="T22">
        <v>0</v>
      </c>
      <c r="U22" t="s">
        <v>477</v>
      </c>
    </row>
    <row r="23" spans="1:21" x14ac:dyDescent="0.25">
      <c r="A23" t="s">
        <v>520</v>
      </c>
      <c r="B23" s="52">
        <v>45464</v>
      </c>
      <c r="C23" s="52">
        <v>45596</v>
      </c>
      <c r="D23">
        <v>11</v>
      </c>
      <c r="E23" t="s">
        <v>521</v>
      </c>
      <c r="F23" t="s">
        <v>483</v>
      </c>
      <c r="G23" t="s">
        <v>522</v>
      </c>
      <c r="H23" t="s">
        <v>523</v>
      </c>
      <c r="I23" t="s">
        <v>485</v>
      </c>
      <c r="J23">
        <v>1</v>
      </c>
      <c r="K23">
        <v>93281</v>
      </c>
      <c r="L23">
        <v>27657.5</v>
      </c>
      <c r="M23">
        <v>26274.625</v>
      </c>
      <c r="N23">
        <v>3882.875</v>
      </c>
      <c r="O23">
        <v>35466</v>
      </c>
      <c r="P23">
        <v>523221.59114285721</v>
      </c>
      <c r="Q23">
        <v>261610.79557142861</v>
      </c>
      <c r="R23">
        <v>0</v>
      </c>
      <c r="S23">
        <v>0</v>
      </c>
      <c r="T23">
        <v>0</v>
      </c>
      <c r="U23" t="s">
        <v>477</v>
      </c>
    </row>
    <row r="24" spans="1:21" x14ac:dyDescent="0.25">
      <c r="A24" t="s">
        <v>486</v>
      </c>
      <c r="B24" s="52">
        <v>45566</v>
      </c>
      <c r="C24" s="52">
        <v>45930</v>
      </c>
      <c r="D24">
        <v>11</v>
      </c>
      <c r="E24" t="s">
        <v>487</v>
      </c>
      <c r="F24" t="s">
        <v>488</v>
      </c>
      <c r="G24" t="s">
        <v>489</v>
      </c>
      <c r="H24" t="s">
        <v>475</v>
      </c>
      <c r="I24" t="s">
        <v>485</v>
      </c>
      <c r="J24">
        <v>1</v>
      </c>
      <c r="K24">
        <v>40469.49</v>
      </c>
      <c r="L24">
        <v>40469.49</v>
      </c>
      <c r="P24">
        <v>189997.65</v>
      </c>
      <c r="Q24">
        <v>189997.65</v>
      </c>
      <c r="R24">
        <v>12396.327668418769</v>
      </c>
      <c r="S24">
        <v>12396.327668418769</v>
      </c>
      <c r="U24" t="s">
        <v>517</v>
      </c>
    </row>
    <row r="25" spans="1:21" x14ac:dyDescent="0.25">
      <c r="A25" t="s">
        <v>490</v>
      </c>
      <c r="B25" s="52">
        <v>45566</v>
      </c>
      <c r="C25" s="52">
        <v>45930</v>
      </c>
      <c r="D25">
        <v>11</v>
      </c>
      <c r="E25" t="s">
        <v>491</v>
      </c>
      <c r="F25" t="s">
        <v>488</v>
      </c>
      <c r="G25" t="s">
        <v>489</v>
      </c>
      <c r="H25" t="s">
        <v>475</v>
      </c>
      <c r="I25" t="s">
        <v>485</v>
      </c>
      <c r="J25">
        <v>1</v>
      </c>
      <c r="K25">
        <v>23044.027999999998</v>
      </c>
      <c r="L25">
        <v>23044.027999999998</v>
      </c>
      <c r="P25">
        <v>110788.60799999999</v>
      </c>
      <c r="Q25">
        <v>110788.60799999999</v>
      </c>
      <c r="R25">
        <v>2593.541370349662</v>
      </c>
      <c r="S25">
        <v>2593.541370349662</v>
      </c>
      <c r="U25" t="s">
        <v>517</v>
      </c>
    </row>
    <row r="26" spans="1:21" x14ac:dyDescent="0.25">
      <c r="A26" t="s">
        <v>492</v>
      </c>
      <c r="B26" s="52">
        <v>45566</v>
      </c>
      <c r="C26" s="52">
        <v>45930</v>
      </c>
      <c r="D26">
        <v>11</v>
      </c>
      <c r="E26" t="s">
        <v>491</v>
      </c>
      <c r="F26" t="s">
        <v>488</v>
      </c>
      <c r="G26" t="s">
        <v>489</v>
      </c>
      <c r="H26" t="s">
        <v>475</v>
      </c>
      <c r="I26" t="s">
        <v>485</v>
      </c>
      <c r="J26">
        <v>1</v>
      </c>
      <c r="K26">
        <v>46573.35</v>
      </c>
      <c r="L26">
        <v>46573.35</v>
      </c>
      <c r="P26">
        <v>223910.39999999999</v>
      </c>
      <c r="Q26">
        <v>223910.39999999999</v>
      </c>
      <c r="U26" t="s">
        <v>517</v>
      </c>
    </row>
    <row r="27" spans="1:21" x14ac:dyDescent="0.25">
      <c r="A27" t="s">
        <v>493</v>
      </c>
      <c r="B27" s="52">
        <v>45566</v>
      </c>
      <c r="C27" s="52">
        <v>45930</v>
      </c>
      <c r="D27">
        <v>11</v>
      </c>
      <c r="E27" t="s">
        <v>494</v>
      </c>
      <c r="F27" t="s">
        <v>488</v>
      </c>
      <c r="G27" t="s">
        <v>489</v>
      </c>
      <c r="H27" t="s">
        <v>475</v>
      </c>
      <c r="I27" t="s">
        <v>485</v>
      </c>
      <c r="J27">
        <v>1</v>
      </c>
      <c r="K27">
        <v>138437.64000000001</v>
      </c>
      <c r="L27">
        <v>138437.64000000001</v>
      </c>
      <c r="P27">
        <v>667010.4</v>
      </c>
      <c r="Q27">
        <v>667010.4</v>
      </c>
      <c r="R27">
        <v>863.62692901823664</v>
      </c>
      <c r="S27">
        <v>863.62692901823664</v>
      </c>
      <c r="U27" t="s">
        <v>517</v>
      </c>
    </row>
    <row r="28" spans="1:21" x14ac:dyDescent="0.25">
      <c r="A28" t="s">
        <v>481</v>
      </c>
      <c r="B28" s="52">
        <v>45597</v>
      </c>
      <c r="C28" s="52">
        <v>45777</v>
      </c>
      <c r="D28">
        <v>11</v>
      </c>
      <c r="E28" t="s">
        <v>482</v>
      </c>
      <c r="F28" t="s">
        <v>483</v>
      </c>
      <c r="G28" t="s">
        <v>484</v>
      </c>
      <c r="H28" t="s">
        <v>475</v>
      </c>
      <c r="I28" t="s">
        <v>485</v>
      </c>
      <c r="J28">
        <v>1</v>
      </c>
      <c r="K28">
        <v>5127443.2962926403</v>
      </c>
      <c r="L28">
        <v>1664609.796295108</v>
      </c>
      <c r="M28">
        <v>3457266.499997532</v>
      </c>
      <c r="O28">
        <v>5567</v>
      </c>
      <c r="P28">
        <v>9740073</v>
      </c>
      <c r="Q28">
        <v>3165523.7250000001</v>
      </c>
      <c r="R28">
        <v>356063</v>
      </c>
      <c r="S28">
        <v>115720.47500000001</v>
      </c>
      <c r="T28">
        <v>240342.52499999999</v>
      </c>
      <c r="U28" t="s">
        <v>517</v>
      </c>
    </row>
    <row r="29" spans="1:21" x14ac:dyDescent="0.25">
      <c r="A29" t="s">
        <v>524</v>
      </c>
      <c r="B29" s="52">
        <v>45611</v>
      </c>
      <c r="C29" s="52">
        <v>45884</v>
      </c>
      <c r="D29">
        <v>11</v>
      </c>
      <c r="E29" t="s">
        <v>482</v>
      </c>
      <c r="F29" t="s">
        <v>525</v>
      </c>
      <c r="G29" t="s">
        <v>501</v>
      </c>
      <c r="H29" t="s">
        <v>523</v>
      </c>
      <c r="I29" t="s">
        <v>485</v>
      </c>
      <c r="J29">
        <v>1</v>
      </c>
      <c r="K29">
        <v>11807.144611744679</v>
      </c>
      <c r="L29">
        <v>7797.4508920344633</v>
      </c>
      <c r="M29">
        <v>4009.693719710212</v>
      </c>
      <c r="P29">
        <v>558326.05000000005</v>
      </c>
      <c r="Q29">
        <v>368719.11878576397</v>
      </c>
      <c r="U29" t="s">
        <v>517</v>
      </c>
    </row>
    <row r="30" spans="1:21" x14ac:dyDescent="0.25">
      <c r="A30" t="s">
        <v>526</v>
      </c>
      <c r="B30" s="52">
        <v>45611</v>
      </c>
      <c r="C30" s="52">
        <v>45884</v>
      </c>
      <c r="D30">
        <v>11</v>
      </c>
      <c r="E30" t="s">
        <v>482</v>
      </c>
      <c r="F30" t="s">
        <v>525</v>
      </c>
      <c r="G30" t="s">
        <v>501</v>
      </c>
      <c r="H30" t="s">
        <v>523</v>
      </c>
      <c r="I30" t="s">
        <v>485</v>
      </c>
      <c r="J30">
        <v>1</v>
      </c>
      <c r="K30">
        <v>1557.261472783762</v>
      </c>
      <c r="L30">
        <v>1557.261472783762</v>
      </c>
      <c r="P30">
        <v>50592</v>
      </c>
      <c r="Q30">
        <v>50592</v>
      </c>
      <c r="U30" t="s">
        <v>517</v>
      </c>
    </row>
    <row r="31" spans="1:21" x14ac:dyDescent="0.25">
      <c r="A31" t="s">
        <v>499</v>
      </c>
      <c r="B31" s="52">
        <v>45689</v>
      </c>
      <c r="C31" s="52">
        <v>46022</v>
      </c>
      <c r="D31">
        <v>11</v>
      </c>
      <c r="E31" t="s">
        <v>494</v>
      </c>
      <c r="F31" t="s">
        <v>500</v>
      </c>
      <c r="G31" t="s">
        <v>501</v>
      </c>
      <c r="H31" t="s">
        <v>523</v>
      </c>
      <c r="I31" t="s">
        <v>485</v>
      </c>
      <c r="J31">
        <v>1</v>
      </c>
      <c r="K31">
        <v>23475.898112769079</v>
      </c>
      <c r="L31">
        <v>15503.50814697719</v>
      </c>
      <c r="M31">
        <v>7972.3899657918882</v>
      </c>
      <c r="P31">
        <v>1208464.25</v>
      </c>
      <c r="Q31">
        <v>798071.07933455589</v>
      </c>
      <c r="U31" t="s">
        <v>517</v>
      </c>
    </row>
    <row r="32" spans="1:21" x14ac:dyDescent="0.25">
      <c r="A32" t="s">
        <v>527</v>
      </c>
      <c r="B32" s="52">
        <v>45627</v>
      </c>
      <c r="C32" s="52">
        <v>45808</v>
      </c>
      <c r="D32">
        <v>11</v>
      </c>
      <c r="E32" t="s">
        <v>507</v>
      </c>
      <c r="F32" t="s">
        <v>508</v>
      </c>
      <c r="G32" t="s">
        <v>483</v>
      </c>
      <c r="H32" t="s">
        <v>523</v>
      </c>
      <c r="I32" t="s">
        <v>510</v>
      </c>
      <c r="J32">
        <v>4683.97</v>
      </c>
      <c r="K32">
        <v>144483.4</v>
      </c>
      <c r="L32">
        <v>109774.39999999999</v>
      </c>
      <c r="N32">
        <v>34709</v>
      </c>
      <c r="P32">
        <v>1002374.821506519</v>
      </c>
      <c r="Q32">
        <v>1002374.821506519</v>
      </c>
      <c r="U32" t="s">
        <v>517</v>
      </c>
    </row>
    <row r="33" spans="1:21" x14ac:dyDescent="0.25">
      <c r="A33" t="s">
        <v>528</v>
      </c>
      <c r="B33" s="52">
        <v>45658</v>
      </c>
      <c r="C33" s="52">
        <v>46022</v>
      </c>
      <c r="D33">
        <v>11</v>
      </c>
      <c r="E33" t="s">
        <v>529</v>
      </c>
      <c r="F33" t="s">
        <v>530</v>
      </c>
      <c r="G33" t="s">
        <v>483</v>
      </c>
      <c r="H33" t="s">
        <v>523</v>
      </c>
      <c r="I33" t="s">
        <v>516</v>
      </c>
      <c r="J33">
        <v>0.9</v>
      </c>
      <c r="K33">
        <v>153309.41246382799</v>
      </c>
      <c r="L33">
        <v>100323.93292682929</v>
      </c>
      <c r="M33">
        <v>40129.573170731674</v>
      </c>
      <c r="N33">
        <v>12855.906366267051</v>
      </c>
      <c r="P33">
        <v>445884.14634146338</v>
      </c>
      <c r="Q33">
        <v>312118.90243902442</v>
      </c>
      <c r="U33" t="s">
        <v>531</v>
      </c>
    </row>
    <row r="34" spans="1:21" x14ac:dyDescent="0.25">
      <c r="A34" t="s">
        <v>502</v>
      </c>
      <c r="B34" s="52">
        <v>45672</v>
      </c>
      <c r="C34" s="52">
        <v>46036</v>
      </c>
      <c r="D34">
        <v>11</v>
      </c>
      <c r="E34" t="s">
        <v>503</v>
      </c>
      <c r="F34" t="s">
        <v>483</v>
      </c>
      <c r="G34" t="s">
        <v>484</v>
      </c>
      <c r="H34" t="s">
        <v>475</v>
      </c>
      <c r="I34" t="s">
        <v>485</v>
      </c>
      <c r="J34">
        <v>1</v>
      </c>
      <c r="K34">
        <v>250000</v>
      </c>
      <c r="L34">
        <v>21891.13</v>
      </c>
      <c r="M34">
        <v>225000</v>
      </c>
      <c r="N34">
        <v>0</v>
      </c>
      <c r="O34">
        <v>3108.87</v>
      </c>
      <c r="P34">
        <v>1487635.9668871651</v>
      </c>
      <c r="Q34">
        <v>148763.5966887165</v>
      </c>
      <c r="U34" t="s">
        <v>517</v>
      </c>
    </row>
    <row r="35" spans="1:21" x14ac:dyDescent="0.25">
      <c r="A35" t="s">
        <v>504</v>
      </c>
      <c r="B35" s="52">
        <v>45717</v>
      </c>
      <c r="C35" s="52">
        <v>46081</v>
      </c>
      <c r="D35">
        <v>11</v>
      </c>
      <c r="E35" t="s">
        <v>503</v>
      </c>
      <c r="F35" t="s">
        <v>483</v>
      </c>
      <c r="G35" t="s">
        <v>484</v>
      </c>
      <c r="H35" t="s">
        <v>475</v>
      </c>
      <c r="I35" t="s">
        <v>485</v>
      </c>
      <c r="J35">
        <v>1</v>
      </c>
      <c r="K35">
        <v>150000</v>
      </c>
      <c r="L35">
        <v>11891.13</v>
      </c>
      <c r="M35">
        <v>135000</v>
      </c>
      <c r="N35">
        <v>0</v>
      </c>
      <c r="O35">
        <v>3108.87</v>
      </c>
      <c r="P35">
        <v>768315</v>
      </c>
      <c r="Q35">
        <v>76831.5</v>
      </c>
      <c r="U35" t="s">
        <v>517</v>
      </c>
    </row>
    <row r="36" spans="1:21" x14ac:dyDescent="0.25">
      <c r="A36" t="s">
        <v>532</v>
      </c>
      <c r="B36" s="52">
        <v>45717</v>
      </c>
      <c r="C36" s="52">
        <v>46184</v>
      </c>
      <c r="D36">
        <v>11</v>
      </c>
      <c r="E36" t="s">
        <v>494</v>
      </c>
      <c r="F36" t="s">
        <v>483</v>
      </c>
      <c r="G36" t="s">
        <v>483</v>
      </c>
      <c r="H36" t="s">
        <v>523</v>
      </c>
      <c r="I36" t="s">
        <v>485</v>
      </c>
      <c r="J36">
        <v>1</v>
      </c>
      <c r="K36">
        <v>392852.68647428619</v>
      </c>
      <c r="L36">
        <v>392852.68647428619</v>
      </c>
      <c r="M36">
        <v>0</v>
      </c>
      <c r="P36">
        <v>2006960</v>
      </c>
      <c r="Q36">
        <v>2006960</v>
      </c>
      <c r="U36" t="s">
        <v>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SOV&amp;REPLICA</vt:lpstr>
      <vt:lpstr>Sheet1</vt:lpstr>
      <vt:lpstr>IIS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Munyingi</dc:creator>
  <cp:lastModifiedBy>Patrick Munyingi</cp:lastModifiedBy>
  <dcterms:created xsi:type="dcterms:W3CDTF">2023-11-20T10:52:56Z</dcterms:created>
  <dcterms:modified xsi:type="dcterms:W3CDTF">2026-03-12T10:58:59Z</dcterms:modified>
</cp:coreProperties>
</file>